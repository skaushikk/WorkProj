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Files from old tower pc 2016\Kaushik\Work\python\WIP\PEMS\"/>
    </mc:Choice>
  </mc:AlternateContent>
  <bookViews>
    <workbookView xWindow="120" yWindow="60" windowWidth="21780" windowHeight="12600" tabRatio="654" activeTab="1"/>
  </bookViews>
  <sheets>
    <sheet name="Help" sheetId="24" r:id="rId1"/>
    <sheet name="PEMS" sheetId="15" r:id="rId2"/>
    <sheet name="HOM Exit Point" sheetId="19" state="hidden" r:id="rId3"/>
    <sheet name="Tensioner Exit Point" sheetId="20" state="hidden" r:id="rId4"/>
    <sheet name="__$Orcina_Hidden_Sheet$__" sheetId="5" state="veryHidden" r:id="rId5"/>
    <sheet name="temp" sheetId="23" state="hidden" r:id="rId6"/>
    <sheet name="Results" sheetId="17" state="hidden" r:id="rId7"/>
    <sheet name="Report" sheetId="18" state="hidden" r:id="rId8"/>
    <sheet name="Revision History" sheetId="22" r:id="rId9"/>
  </sheets>
  <functionGroups builtInGroupCount="18"/>
  <definedNames>
    <definedName name="emporfld">PEMS!$M$16</definedName>
    <definedName name="HomorTen">PEMS!$L$16</definedName>
    <definedName name="pipe_ID">PEMS!$F$23</definedName>
    <definedName name="_xlnm.Print_Area" localSheetId="3">'Tensioner Exit Point'!$A$1:$N$29</definedName>
    <definedName name="status">PEMS!$K$31</definedName>
    <definedName name="tolerance">PEMS!$F$29</definedName>
    <definedName name="towerangles">PEMS!$K$16</definedName>
  </definedNames>
  <calcPr calcId="171027"/>
</workbook>
</file>

<file path=xl/calcChain.xml><?xml version="1.0" encoding="utf-8"?>
<calcChain xmlns="http://schemas.openxmlformats.org/spreadsheetml/2006/main">
  <c r="A136" i="23" l="1"/>
  <c r="J136" i="23" s="1"/>
  <c r="A135" i="23"/>
  <c r="J135" i="23" s="1"/>
  <c r="A134" i="23"/>
  <c r="J134" i="23" s="1"/>
  <c r="G133" i="23"/>
  <c r="A133" i="23"/>
  <c r="J133" i="23" s="1"/>
  <c r="G132" i="23"/>
  <c r="D132" i="23"/>
  <c r="A132" i="23"/>
  <c r="J132" i="23" s="1"/>
  <c r="G131" i="23"/>
  <c r="D131" i="23"/>
  <c r="A131" i="23"/>
  <c r="J131" i="23" s="1"/>
  <c r="G130" i="23"/>
  <c r="D130" i="23"/>
  <c r="A130" i="23"/>
  <c r="J130" i="23" s="1"/>
  <c r="A129" i="23"/>
  <c r="J129" i="23" s="1"/>
  <c r="A128" i="23"/>
  <c r="J128" i="23" s="1"/>
  <c r="A127" i="23"/>
  <c r="J127" i="23" s="1"/>
  <c r="A126" i="23"/>
  <c r="J126" i="23" s="1"/>
  <c r="G125" i="23"/>
  <c r="A125" i="23"/>
  <c r="J125" i="23" s="1"/>
  <c r="G124" i="23"/>
  <c r="D124" i="23"/>
  <c r="A124" i="23"/>
  <c r="J124" i="23" s="1"/>
  <c r="G123" i="23"/>
  <c r="D123" i="23"/>
  <c r="A123" i="23"/>
  <c r="J123" i="23" s="1"/>
  <c r="G122" i="23"/>
  <c r="D122" i="23"/>
  <c r="A122" i="23"/>
  <c r="J122" i="23" s="1"/>
  <c r="A121" i="23"/>
  <c r="J121" i="23" s="1"/>
  <c r="A120" i="23"/>
  <c r="J120" i="23" s="1"/>
  <c r="A119" i="23"/>
  <c r="J119" i="23" s="1"/>
  <c r="A118" i="23"/>
  <c r="J118" i="23" s="1"/>
  <c r="G117" i="23"/>
  <c r="A117" i="23"/>
  <c r="J117" i="23" s="1"/>
  <c r="G116" i="23"/>
  <c r="D116" i="23"/>
  <c r="A116" i="23"/>
  <c r="J116" i="23" s="1"/>
  <c r="G115" i="23"/>
  <c r="D115" i="23"/>
  <c r="A115" i="23"/>
  <c r="J115" i="23" s="1"/>
  <c r="G114" i="23"/>
  <c r="D114" i="23"/>
  <c r="A114" i="23"/>
  <c r="J114" i="23" s="1"/>
  <c r="A113" i="23"/>
  <c r="J113" i="23" s="1"/>
  <c r="A112" i="23"/>
  <c r="J112" i="23" s="1"/>
  <c r="A111" i="23"/>
  <c r="J111" i="23" s="1"/>
  <c r="A110" i="23"/>
  <c r="J110" i="23" s="1"/>
  <c r="G109" i="23"/>
  <c r="A109" i="23"/>
  <c r="J109" i="23" s="1"/>
  <c r="G108" i="23"/>
  <c r="D108" i="23"/>
  <c r="A108" i="23"/>
  <c r="J108" i="23" s="1"/>
  <c r="G107" i="23"/>
  <c r="D107" i="23"/>
  <c r="A107" i="23"/>
  <c r="J107" i="23" s="1"/>
  <c r="G106" i="23"/>
  <c r="D106" i="23"/>
  <c r="A106" i="23"/>
  <c r="J106" i="23" s="1"/>
  <c r="A105" i="23"/>
  <c r="J105" i="23" s="1"/>
  <c r="A104" i="23"/>
  <c r="J104" i="23" s="1"/>
  <c r="A103" i="23"/>
  <c r="J103" i="23" s="1"/>
  <c r="A102" i="23"/>
  <c r="J102" i="23" s="1"/>
  <c r="G101" i="23"/>
  <c r="A101" i="23"/>
  <c r="J101" i="23" s="1"/>
  <c r="G100" i="23"/>
  <c r="D100" i="23"/>
  <c r="A100" i="23"/>
  <c r="J100" i="23" s="1"/>
  <c r="G99" i="23"/>
  <c r="D99" i="23"/>
  <c r="A99" i="23"/>
  <c r="J99" i="23" s="1"/>
  <c r="G98" i="23"/>
  <c r="D98" i="23"/>
  <c r="A98" i="23"/>
  <c r="J98" i="23" s="1"/>
  <c r="A97" i="23"/>
  <c r="J97" i="23" s="1"/>
  <c r="A96" i="23"/>
  <c r="J96" i="23" s="1"/>
  <c r="A95" i="23"/>
  <c r="J95" i="23" s="1"/>
  <c r="A94" i="23"/>
  <c r="J94" i="23" s="1"/>
  <c r="G93" i="23"/>
  <c r="A93" i="23"/>
  <c r="J93" i="23" s="1"/>
  <c r="G92" i="23"/>
  <c r="D92" i="23"/>
  <c r="A92" i="23"/>
  <c r="J92" i="23" s="1"/>
  <c r="G91" i="23"/>
  <c r="D91" i="23"/>
  <c r="A91" i="23"/>
  <c r="J91" i="23" s="1"/>
  <c r="G90" i="23"/>
  <c r="D90" i="23"/>
  <c r="A90" i="23"/>
  <c r="J90" i="23" s="1"/>
  <c r="A89" i="23"/>
  <c r="J89" i="23" s="1"/>
  <c r="A88" i="23"/>
  <c r="J88" i="23" s="1"/>
  <c r="A87" i="23"/>
  <c r="J87" i="23" s="1"/>
  <c r="A86" i="23"/>
  <c r="J86" i="23" s="1"/>
  <c r="G85" i="23"/>
  <c r="A85" i="23"/>
  <c r="J85" i="23" s="1"/>
  <c r="G84" i="23"/>
  <c r="D84" i="23"/>
  <c r="A84" i="23"/>
  <c r="J84" i="23" s="1"/>
  <c r="G83" i="23"/>
  <c r="D83" i="23"/>
  <c r="A83" i="23"/>
  <c r="J83" i="23" s="1"/>
  <c r="G82" i="23"/>
  <c r="D82" i="23"/>
  <c r="A82" i="23"/>
  <c r="J82" i="23" s="1"/>
  <c r="A81" i="23"/>
  <c r="J81" i="23" s="1"/>
  <c r="A80" i="23"/>
  <c r="J80" i="23" s="1"/>
  <c r="A79" i="23"/>
  <c r="J79" i="23" s="1"/>
  <c r="A78" i="23"/>
  <c r="J78" i="23" s="1"/>
  <c r="G77" i="23"/>
  <c r="A77" i="23"/>
  <c r="J77" i="23" s="1"/>
  <c r="G76" i="23"/>
  <c r="D76" i="23"/>
  <c r="A76" i="23"/>
  <c r="J76" i="23" s="1"/>
  <c r="G75" i="23"/>
  <c r="D75" i="23"/>
  <c r="A75" i="23"/>
  <c r="J75" i="23" s="1"/>
  <c r="G74" i="23"/>
  <c r="D74" i="23"/>
  <c r="A74" i="23"/>
  <c r="J74" i="23" s="1"/>
  <c r="A73" i="23"/>
  <c r="J73" i="23" s="1"/>
  <c r="A72" i="23"/>
  <c r="J72" i="23" s="1"/>
  <c r="A71" i="23"/>
  <c r="J71" i="23" s="1"/>
  <c r="A70" i="23"/>
  <c r="J70" i="23" s="1"/>
  <c r="G69" i="23"/>
  <c r="A69" i="23"/>
  <c r="J69" i="23" s="1"/>
  <c r="G68" i="23"/>
  <c r="D68" i="23"/>
  <c r="A68" i="23"/>
  <c r="J68" i="23" s="1"/>
  <c r="G67" i="23"/>
  <c r="D67" i="23"/>
  <c r="A67" i="23"/>
  <c r="J67" i="23" s="1"/>
  <c r="G66" i="23"/>
  <c r="D66" i="23"/>
  <c r="A66" i="23"/>
  <c r="J66" i="23" s="1"/>
  <c r="A65" i="23"/>
  <c r="J65" i="23" s="1"/>
  <c r="A64" i="23"/>
  <c r="J64" i="23" s="1"/>
  <c r="A63" i="23"/>
  <c r="J63" i="23" s="1"/>
  <c r="A62" i="23"/>
  <c r="J62" i="23" s="1"/>
  <c r="G61" i="23"/>
  <c r="A61" i="23"/>
  <c r="J61" i="23" s="1"/>
  <c r="G60" i="23"/>
  <c r="D60" i="23"/>
  <c r="A60" i="23"/>
  <c r="J60" i="23" s="1"/>
  <c r="G59" i="23"/>
  <c r="D59" i="23"/>
  <c r="A59" i="23"/>
  <c r="J59" i="23" s="1"/>
  <c r="G58" i="23"/>
  <c r="D58" i="23"/>
  <c r="A58" i="23"/>
  <c r="J58" i="23" s="1"/>
  <c r="A57" i="23"/>
  <c r="J57" i="23" s="1"/>
  <c r="A56" i="23"/>
  <c r="J56" i="23" s="1"/>
  <c r="A55" i="23"/>
  <c r="J55" i="23" s="1"/>
  <c r="A54" i="23"/>
  <c r="J54" i="23" s="1"/>
  <c r="G53" i="23"/>
  <c r="A53" i="23"/>
  <c r="J53" i="23" s="1"/>
  <c r="G52" i="23"/>
  <c r="D52" i="23"/>
  <c r="A52" i="23"/>
  <c r="J52" i="23" s="1"/>
  <c r="J51" i="23"/>
  <c r="G51" i="23"/>
  <c r="D51" i="23"/>
  <c r="A51" i="23"/>
  <c r="J50" i="23"/>
  <c r="G50" i="23"/>
  <c r="A50" i="23"/>
  <c r="D50" i="23" s="1"/>
  <c r="J49" i="23"/>
  <c r="G49" i="23"/>
  <c r="A49" i="23"/>
  <c r="D49" i="23" s="1"/>
  <c r="J48" i="23"/>
  <c r="G48" i="23"/>
  <c r="A48" i="23"/>
  <c r="D48" i="23" s="1"/>
  <c r="J47" i="23"/>
  <c r="G47" i="23"/>
  <c r="A47" i="23"/>
  <c r="D47" i="23" s="1"/>
  <c r="J46" i="23"/>
  <c r="G46" i="23"/>
  <c r="A46" i="23"/>
  <c r="D46" i="23" s="1"/>
  <c r="J45" i="23"/>
  <c r="G45" i="23"/>
  <c r="A45" i="23"/>
  <c r="D45" i="23" s="1"/>
  <c r="J44" i="23"/>
  <c r="G44" i="23"/>
  <c r="A44" i="23"/>
  <c r="D44" i="23" s="1"/>
  <c r="J43" i="23"/>
  <c r="G43" i="23"/>
  <c r="A43" i="23"/>
  <c r="D43" i="23" s="1"/>
  <c r="J42" i="23"/>
  <c r="G42" i="23"/>
  <c r="A42" i="23"/>
  <c r="D42" i="23" s="1"/>
  <c r="J41" i="23"/>
  <c r="G41" i="23"/>
  <c r="A41" i="23"/>
  <c r="D41" i="23" s="1"/>
  <c r="J40" i="23"/>
  <c r="G40" i="23"/>
  <c r="A40" i="23"/>
  <c r="D40" i="23" s="1"/>
  <c r="J39" i="23"/>
  <c r="G39" i="23"/>
  <c r="A39" i="23"/>
  <c r="D39" i="23" s="1"/>
  <c r="J38" i="23"/>
  <c r="G38" i="23"/>
  <c r="A38" i="23"/>
  <c r="D38" i="23" s="1"/>
  <c r="J37" i="23"/>
  <c r="G37" i="23"/>
  <c r="A37" i="23"/>
  <c r="D37" i="23" s="1"/>
  <c r="J36" i="23"/>
  <c r="G36" i="23"/>
  <c r="A36" i="23"/>
  <c r="D36" i="23" s="1"/>
  <c r="J35" i="23"/>
  <c r="G35" i="23"/>
  <c r="A35" i="23"/>
  <c r="D35" i="23" s="1"/>
  <c r="J34" i="23"/>
  <c r="G34" i="23"/>
  <c r="A34" i="23"/>
  <c r="D34" i="23" s="1"/>
  <c r="J33" i="23"/>
  <c r="G33" i="23"/>
  <c r="A33" i="23"/>
  <c r="D33" i="23" s="1"/>
  <c r="J32" i="23"/>
  <c r="G32" i="23"/>
  <c r="A32" i="23"/>
  <c r="D32" i="23" s="1"/>
  <c r="J31" i="23"/>
  <c r="G31" i="23"/>
  <c r="A31" i="23"/>
  <c r="D31" i="23" s="1"/>
  <c r="J30" i="23"/>
  <c r="G30" i="23"/>
  <c r="A30" i="23"/>
  <c r="D30" i="23" s="1"/>
  <c r="J29" i="23"/>
  <c r="G29" i="23"/>
  <c r="A29" i="23"/>
  <c r="D29" i="23" s="1"/>
  <c r="J28" i="23"/>
  <c r="G28" i="23"/>
  <c r="A28" i="23"/>
  <c r="D28" i="23" s="1"/>
  <c r="J27" i="23"/>
  <c r="G27" i="23"/>
  <c r="A27" i="23"/>
  <c r="D27" i="23" s="1"/>
  <c r="J26" i="23"/>
  <c r="G26" i="23"/>
  <c r="A26" i="23"/>
  <c r="D26" i="23" s="1"/>
  <c r="J25" i="23"/>
  <c r="G25" i="23"/>
  <c r="A25" i="23"/>
  <c r="D25" i="23" s="1"/>
  <c r="J24" i="23"/>
  <c r="G24" i="23"/>
  <c r="A24" i="23"/>
  <c r="D24" i="23" s="1"/>
  <c r="J23" i="23"/>
  <c r="G23" i="23"/>
  <c r="A23" i="23"/>
  <c r="D23" i="23" s="1"/>
  <c r="J22" i="23"/>
  <c r="G22" i="23"/>
  <c r="A22" i="23"/>
  <c r="D22" i="23" s="1"/>
  <c r="J21" i="23"/>
  <c r="G21" i="23"/>
  <c r="A21" i="23"/>
  <c r="D21" i="23" s="1"/>
  <c r="J20" i="23"/>
  <c r="G20" i="23"/>
  <c r="A20" i="23"/>
  <c r="D20" i="23" s="1"/>
  <c r="J19" i="23"/>
  <c r="G19" i="23"/>
  <c r="A19" i="23"/>
  <c r="D19" i="23" s="1"/>
  <c r="J18" i="23"/>
  <c r="G18" i="23"/>
  <c r="A18" i="23"/>
  <c r="D18" i="23" s="1"/>
  <c r="J17" i="23"/>
  <c r="G17" i="23"/>
  <c r="A17" i="23"/>
  <c r="D17" i="23" s="1"/>
  <c r="J16" i="23"/>
  <c r="G16" i="23"/>
  <c r="A16" i="23"/>
  <c r="D16" i="23" s="1"/>
  <c r="J15" i="23"/>
  <c r="G15" i="23"/>
  <c r="A15" i="23"/>
  <c r="D15" i="23" s="1"/>
  <c r="J14" i="23"/>
  <c r="G14" i="23"/>
  <c r="A14" i="23"/>
  <c r="D14" i="23" s="1"/>
  <c r="J13" i="23"/>
  <c r="G13" i="23"/>
  <c r="A13" i="23"/>
  <c r="D13" i="23" s="1"/>
  <c r="J12" i="23"/>
  <c r="G12" i="23"/>
  <c r="A12" i="23"/>
  <c r="D12" i="23" s="1"/>
  <c r="J11" i="23"/>
  <c r="G11" i="23"/>
  <c r="A11" i="23"/>
  <c r="D11" i="23" s="1"/>
  <c r="J10" i="23"/>
  <c r="G10" i="23"/>
  <c r="A10" i="23"/>
  <c r="D10" i="23" s="1"/>
  <c r="J9" i="23"/>
  <c r="G9" i="23"/>
  <c r="A9" i="23"/>
  <c r="D9" i="23" s="1"/>
  <c r="J8" i="23"/>
  <c r="G8" i="23"/>
  <c r="A8" i="23"/>
  <c r="D8" i="23" s="1"/>
  <c r="J7" i="23"/>
  <c r="G7" i="23"/>
  <c r="A7" i="23"/>
  <c r="D7" i="23" s="1"/>
  <c r="J6" i="23"/>
  <c r="G6" i="23"/>
  <c r="A6" i="23"/>
  <c r="D6" i="23" s="1"/>
  <c r="D65" i="23" l="1"/>
  <c r="D73" i="23"/>
  <c r="D89" i="23"/>
  <c r="D113" i="23"/>
  <c r="D56" i="23"/>
  <c r="D64" i="23"/>
  <c r="D104" i="23"/>
  <c r="G57" i="23"/>
  <c r="D63" i="23"/>
  <c r="G65" i="23"/>
  <c r="G81" i="23"/>
  <c r="D87" i="23"/>
  <c r="D103" i="23"/>
  <c r="D111" i="23"/>
  <c r="G113" i="23"/>
  <c r="D119" i="23"/>
  <c r="G121" i="23"/>
  <c r="D127" i="23"/>
  <c r="G129" i="23"/>
  <c r="D135" i="23"/>
  <c r="D54" i="23"/>
  <c r="G56" i="23"/>
  <c r="D62" i="23"/>
  <c r="G64" i="23"/>
  <c r="D70" i="23"/>
  <c r="G72" i="23"/>
  <c r="D78" i="23"/>
  <c r="G80" i="23"/>
  <c r="D86" i="23"/>
  <c r="G88" i="23"/>
  <c r="D94" i="23"/>
  <c r="G96" i="23"/>
  <c r="D102" i="23"/>
  <c r="G104" i="23"/>
  <c r="D110" i="23"/>
  <c r="G112" i="23"/>
  <c r="D118" i="23"/>
  <c r="G120" i="23"/>
  <c r="D126" i="23"/>
  <c r="G128" i="23"/>
  <c r="D134" i="23"/>
  <c r="G136" i="23"/>
  <c r="D57" i="23"/>
  <c r="D97" i="23"/>
  <c r="D88" i="23"/>
  <c r="D120" i="23"/>
  <c r="D128" i="23"/>
  <c r="D136" i="23"/>
  <c r="D55" i="23"/>
  <c r="G73" i="23"/>
  <c r="D79" i="23"/>
  <c r="G89" i="23"/>
  <c r="D95" i="23"/>
  <c r="G105" i="23"/>
  <c r="D53" i="23"/>
  <c r="G55" i="23"/>
  <c r="D61" i="23"/>
  <c r="G63" i="23"/>
  <c r="D69" i="23"/>
  <c r="G71" i="23"/>
  <c r="D77" i="23"/>
  <c r="G79" i="23"/>
  <c r="D85" i="23"/>
  <c r="G87" i="23"/>
  <c r="D93" i="23"/>
  <c r="G95" i="23"/>
  <c r="D101" i="23"/>
  <c r="G103" i="23"/>
  <c r="D109" i="23"/>
  <c r="G111" i="23"/>
  <c r="D117" i="23"/>
  <c r="G119" i="23"/>
  <c r="D125" i="23"/>
  <c r="G127" i="23"/>
  <c r="D133" i="23"/>
  <c r="G135" i="23"/>
  <c r="D81" i="23"/>
  <c r="D105" i="23"/>
  <c r="D121" i="23"/>
  <c r="D129" i="23"/>
  <c r="D72" i="23"/>
  <c r="D80" i="23"/>
  <c r="D96" i="23"/>
  <c r="D112" i="23"/>
  <c r="D71" i="23"/>
  <c r="G97" i="23"/>
  <c r="G54" i="23"/>
  <c r="G62" i="23"/>
  <c r="G70" i="23"/>
  <c r="G78" i="23"/>
  <c r="G86" i="23"/>
  <c r="G94" i="23"/>
  <c r="G102" i="23"/>
  <c r="G110" i="23"/>
  <c r="G118" i="23"/>
  <c r="G126" i="23"/>
  <c r="G134" i="23"/>
  <c r="J10" i="15"/>
  <c r="F17" i="15" l="1"/>
  <c r="E17" i="15"/>
  <c r="D17" i="15"/>
  <c r="E16" i="15"/>
  <c r="F16" i="15"/>
  <c r="D16" i="15"/>
  <c r="A1" i="18" l="1"/>
  <c r="A110" i="18" l="1"/>
  <c r="D110" i="18" s="1"/>
  <c r="B110" i="18"/>
  <c r="E110" i="18"/>
  <c r="H110" i="18"/>
  <c r="K110" i="18"/>
  <c r="A111" i="18"/>
  <c r="D111" i="18" s="1"/>
  <c r="B111" i="18"/>
  <c r="E111" i="18"/>
  <c r="H111" i="18"/>
  <c r="K111" i="18"/>
  <c r="A112" i="18"/>
  <c r="D112" i="18" s="1"/>
  <c r="B112" i="18"/>
  <c r="E112" i="18"/>
  <c r="H112" i="18"/>
  <c r="K112" i="18"/>
  <c r="A113" i="18"/>
  <c r="D113" i="18" s="1"/>
  <c r="B113" i="18"/>
  <c r="E113" i="18"/>
  <c r="H113" i="18"/>
  <c r="K113" i="18"/>
  <c r="A114" i="18"/>
  <c r="D114" i="18" s="1"/>
  <c r="B114" i="18"/>
  <c r="E114" i="18"/>
  <c r="H114" i="18"/>
  <c r="K114" i="18"/>
  <c r="A115" i="18"/>
  <c r="D115" i="18" s="1"/>
  <c r="B115" i="18"/>
  <c r="E115" i="18"/>
  <c r="H115" i="18"/>
  <c r="K115" i="18"/>
  <c r="A116" i="18"/>
  <c r="D116" i="18" s="1"/>
  <c r="B116" i="18"/>
  <c r="E116" i="18"/>
  <c r="H116" i="18"/>
  <c r="K116" i="18"/>
  <c r="A117" i="18"/>
  <c r="D117" i="18" s="1"/>
  <c r="B117" i="18"/>
  <c r="E117" i="18"/>
  <c r="H117" i="18"/>
  <c r="K117" i="18"/>
  <c r="A118" i="18"/>
  <c r="D118" i="18" s="1"/>
  <c r="B118" i="18"/>
  <c r="E118" i="18"/>
  <c r="H118" i="18"/>
  <c r="K118" i="18"/>
  <c r="A119" i="18"/>
  <c r="D119" i="18" s="1"/>
  <c r="B119" i="18"/>
  <c r="E119" i="18"/>
  <c r="H119" i="18"/>
  <c r="K119" i="18"/>
  <c r="A120" i="18"/>
  <c r="D120" i="18" s="1"/>
  <c r="B120" i="18"/>
  <c r="E120" i="18"/>
  <c r="H120" i="18"/>
  <c r="K120" i="18"/>
  <c r="A121" i="18"/>
  <c r="D121" i="18" s="1"/>
  <c r="B121" i="18"/>
  <c r="E121" i="18"/>
  <c r="H121" i="18"/>
  <c r="K121" i="18"/>
  <c r="A122" i="18"/>
  <c r="D122" i="18" s="1"/>
  <c r="B122" i="18"/>
  <c r="E122" i="18"/>
  <c r="H122" i="18"/>
  <c r="K122" i="18"/>
  <c r="A123" i="18"/>
  <c r="D123" i="18" s="1"/>
  <c r="B123" i="18"/>
  <c r="E123" i="18"/>
  <c r="H123" i="18"/>
  <c r="K123" i="18"/>
  <c r="A124" i="18"/>
  <c r="D124" i="18" s="1"/>
  <c r="B124" i="18"/>
  <c r="E124" i="18"/>
  <c r="H124" i="18"/>
  <c r="K124" i="18"/>
  <c r="A125" i="18"/>
  <c r="D125" i="18" s="1"/>
  <c r="B125" i="18"/>
  <c r="E125" i="18"/>
  <c r="H125" i="18"/>
  <c r="K125" i="18"/>
  <c r="A126" i="18"/>
  <c r="D126" i="18" s="1"/>
  <c r="B126" i="18"/>
  <c r="E126" i="18"/>
  <c r="H126" i="18"/>
  <c r="K126" i="18"/>
  <c r="A127" i="18"/>
  <c r="D127" i="18" s="1"/>
  <c r="B127" i="18"/>
  <c r="E127" i="18"/>
  <c r="H127" i="18"/>
  <c r="K127" i="18"/>
  <c r="A128" i="18"/>
  <c r="D128" i="18" s="1"/>
  <c r="B128" i="18"/>
  <c r="E128" i="18"/>
  <c r="H128" i="18"/>
  <c r="K128" i="18"/>
  <c r="A129" i="18"/>
  <c r="D129" i="18" s="1"/>
  <c r="B129" i="18"/>
  <c r="E129" i="18"/>
  <c r="H129" i="18"/>
  <c r="K129" i="18"/>
  <c r="A130" i="18"/>
  <c r="D130" i="18" s="1"/>
  <c r="B130" i="18"/>
  <c r="E130" i="18"/>
  <c r="H130" i="18"/>
  <c r="K130" i="18"/>
  <c r="A131" i="18"/>
  <c r="D131" i="18" s="1"/>
  <c r="B131" i="18"/>
  <c r="E131" i="18"/>
  <c r="H131" i="18"/>
  <c r="K131" i="18"/>
  <c r="A132" i="18"/>
  <c r="D132" i="18" s="1"/>
  <c r="B132" i="18"/>
  <c r="E132" i="18"/>
  <c r="H132" i="18"/>
  <c r="K132" i="18"/>
  <c r="A133" i="18"/>
  <c r="D133" i="18" s="1"/>
  <c r="B133" i="18"/>
  <c r="E133" i="18"/>
  <c r="H133" i="18"/>
  <c r="K133" i="18"/>
  <c r="A134" i="18"/>
  <c r="D134" i="18" s="1"/>
  <c r="B134" i="18"/>
  <c r="E134" i="18"/>
  <c r="H134" i="18"/>
  <c r="K134" i="18"/>
  <c r="A135" i="18"/>
  <c r="D135" i="18" s="1"/>
  <c r="B135" i="18"/>
  <c r="E135" i="18"/>
  <c r="H135" i="18"/>
  <c r="K135" i="18"/>
  <c r="A136" i="18"/>
  <c r="D136" i="18" s="1"/>
  <c r="B136" i="18"/>
  <c r="E136" i="18"/>
  <c r="H136" i="18"/>
  <c r="K136" i="18"/>
  <c r="J129" i="18" l="1"/>
  <c r="J121" i="18"/>
  <c r="J122" i="18"/>
  <c r="G121" i="18"/>
  <c r="G136" i="18"/>
  <c r="G130" i="18"/>
  <c r="G120" i="18"/>
  <c r="G128" i="18"/>
  <c r="J130" i="18"/>
  <c r="G122" i="18"/>
  <c r="G129" i="18"/>
  <c r="G131" i="18"/>
  <c r="G123" i="18"/>
  <c r="J131" i="18"/>
  <c r="J123" i="18"/>
  <c r="G135" i="18"/>
  <c r="G127" i="18"/>
  <c r="G119" i="18"/>
  <c r="J110" i="18"/>
  <c r="J132" i="18"/>
  <c r="J124" i="18"/>
  <c r="J133" i="18"/>
  <c r="J117" i="18"/>
  <c r="G110" i="18"/>
  <c r="G116" i="18"/>
  <c r="G115" i="18"/>
  <c r="G114" i="18"/>
  <c r="G113" i="18"/>
  <c r="G112" i="18"/>
  <c r="G111" i="18"/>
  <c r="J135" i="18"/>
  <c r="G133" i="18"/>
  <c r="J127" i="18"/>
  <c r="G125" i="18"/>
  <c r="J119" i="18"/>
  <c r="G117" i="18"/>
  <c r="J116" i="18"/>
  <c r="J115" i="18"/>
  <c r="J114" i="18"/>
  <c r="J113" i="18"/>
  <c r="J112" i="18"/>
  <c r="J111" i="18"/>
  <c r="J125" i="18"/>
  <c r="J134" i="18"/>
  <c r="G132" i="18"/>
  <c r="J126" i="18"/>
  <c r="G124" i="18"/>
  <c r="J118" i="18"/>
  <c r="J136" i="18"/>
  <c r="G134" i="18"/>
  <c r="J128" i="18"/>
  <c r="G126" i="18"/>
  <c r="J120" i="18"/>
  <c r="G118" i="18"/>
  <c r="B7" i="18" l="1"/>
  <c r="K6" i="18" l="1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A73" i="18"/>
  <c r="J73" i="18" s="1"/>
  <c r="B73" i="18"/>
  <c r="E73" i="18"/>
  <c r="H73" i="18"/>
  <c r="A74" i="18"/>
  <c r="B74" i="18"/>
  <c r="E74" i="18"/>
  <c r="H74" i="18"/>
  <c r="A75" i="18"/>
  <c r="G75" i="18" s="1"/>
  <c r="B75" i="18"/>
  <c r="E75" i="18"/>
  <c r="H75" i="18"/>
  <c r="A76" i="18"/>
  <c r="D76" i="18" s="1"/>
  <c r="B76" i="18"/>
  <c r="E76" i="18"/>
  <c r="H76" i="18"/>
  <c r="A77" i="18"/>
  <c r="J77" i="18" s="1"/>
  <c r="B77" i="18"/>
  <c r="E77" i="18"/>
  <c r="H77" i="18"/>
  <c r="A78" i="18"/>
  <c r="B78" i="18"/>
  <c r="E78" i="18"/>
  <c r="H78" i="18"/>
  <c r="A79" i="18"/>
  <c r="G79" i="18" s="1"/>
  <c r="B79" i="18"/>
  <c r="E79" i="18"/>
  <c r="H79" i="18"/>
  <c r="A80" i="18"/>
  <c r="D80" i="18" s="1"/>
  <c r="B80" i="18"/>
  <c r="E80" i="18"/>
  <c r="H80" i="18"/>
  <c r="A81" i="18"/>
  <c r="G81" i="18" s="1"/>
  <c r="B81" i="18"/>
  <c r="E81" i="18"/>
  <c r="H81" i="18"/>
  <c r="A82" i="18"/>
  <c r="B82" i="18"/>
  <c r="E82" i="18"/>
  <c r="H82" i="18"/>
  <c r="A83" i="18"/>
  <c r="G83" i="18" s="1"/>
  <c r="B83" i="18"/>
  <c r="E83" i="18"/>
  <c r="H83" i="18"/>
  <c r="A84" i="18"/>
  <c r="G84" i="18" s="1"/>
  <c r="B84" i="18"/>
  <c r="E84" i="18"/>
  <c r="H84" i="18"/>
  <c r="A85" i="18"/>
  <c r="J85" i="18" s="1"/>
  <c r="B85" i="18"/>
  <c r="E85" i="18"/>
  <c r="H85" i="18"/>
  <c r="A86" i="18"/>
  <c r="B86" i="18"/>
  <c r="E86" i="18"/>
  <c r="H86" i="18"/>
  <c r="A87" i="18"/>
  <c r="G87" i="18" s="1"/>
  <c r="B87" i="18"/>
  <c r="E87" i="18"/>
  <c r="H87" i="18"/>
  <c r="A88" i="18"/>
  <c r="J88" i="18" s="1"/>
  <c r="B88" i="18"/>
  <c r="E88" i="18"/>
  <c r="H88" i="18"/>
  <c r="A89" i="18"/>
  <c r="D89" i="18" s="1"/>
  <c r="B89" i="18"/>
  <c r="E89" i="18"/>
  <c r="H89" i="18"/>
  <c r="A90" i="18"/>
  <c r="B90" i="18"/>
  <c r="E90" i="18"/>
  <c r="H90" i="18"/>
  <c r="A91" i="18"/>
  <c r="G91" i="18" s="1"/>
  <c r="B91" i="18"/>
  <c r="E91" i="18"/>
  <c r="H91" i="18"/>
  <c r="A92" i="18"/>
  <c r="D92" i="18" s="1"/>
  <c r="B92" i="18"/>
  <c r="E92" i="18"/>
  <c r="H92" i="18"/>
  <c r="A93" i="18"/>
  <c r="G93" i="18" s="1"/>
  <c r="B93" i="18"/>
  <c r="E93" i="18"/>
  <c r="H93" i="18"/>
  <c r="A94" i="18"/>
  <c r="B94" i="18"/>
  <c r="E94" i="18"/>
  <c r="H94" i="18"/>
  <c r="A95" i="18"/>
  <c r="G95" i="18" s="1"/>
  <c r="B95" i="18"/>
  <c r="E95" i="18"/>
  <c r="H95" i="18"/>
  <c r="A96" i="18"/>
  <c r="G96" i="18" s="1"/>
  <c r="B96" i="18"/>
  <c r="E96" i="18"/>
  <c r="H96" i="18"/>
  <c r="A97" i="18"/>
  <c r="D97" i="18" s="1"/>
  <c r="B97" i="18"/>
  <c r="E97" i="18"/>
  <c r="H97" i="18"/>
  <c r="A98" i="18"/>
  <c r="B98" i="18"/>
  <c r="E98" i="18"/>
  <c r="H98" i="18"/>
  <c r="A99" i="18"/>
  <c r="G99" i="18" s="1"/>
  <c r="B99" i="18"/>
  <c r="E99" i="18"/>
  <c r="H99" i="18"/>
  <c r="A100" i="18"/>
  <c r="J100" i="18" s="1"/>
  <c r="B100" i="18"/>
  <c r="E100" i="18"/>
  <c r="H100" i="18"/>
  <c r="A101" i="18"/>
  <c r="D101" i="18" s="1"/>
  <c r="B101" i="18"/>
  <c r="E101" i="18"/>
  <c r="H101" i="18"/>
  <c r="A102" i="18"/>
  <c r="B102" i="18"/>
  <c r="E102" i="18"/>
  <c r="H102" i="18"/>
  <c r="A103" i="18"/>
  <c r="G103" i="18" s="1"/>
  <c r="B103" i="18"/>
  <c r="E103" i="18"/>
  <c r="H103" i="18"/>
  <c r="A104" i="18"/>
  <c r="J104" i="18" s="1"/>
  <c r="B104" i="18"/>
  <c r="E104" i="18"/>
  <c r="H104" i="18"/>
  <c r="A105" i="18"/>
  <c r="J105" i="18" s="1"/>
  <c r="B105" i="18"/>
  <c r="E105" i="18"/>
  <c r="H105" i="18"/>
  <c r="A106" i="18"/>
  <c r="B106" i="18"/>
  <c r="E106" i="18"/>
  <c r="H106" i="18"/>
  <c r="A107" i="18"/>
  <c r="G107" i="18" s="1"/>
  <c r="B107" i="18"/>
  <c r="E107" i="18"/>
  <c r="H107" i="18"/>
  <c r="A108" i="18"/>
  <c r="D108" i="18" s="1"/>
  <c r="B108" i="18"/>
  <c r="E108" i="18"/>
  <c r="H108" i="18"/>
  <c r="A109" i="18"/>
  <c r="G109" i="18" s="1"/>
  <c r="B109" i="18"/>
  <c r="E109" i="18"/>
  <c r="H109" i="18"/>
  <c r="D107" i="18" l="1"/>
  <c r="D73" i="18"/>
  <c r="D81" i="18"/>
  <c r="G105" i="18"/>
  <c r="J81" i="18"/>
  <c r="G76" i="18"/>
  <c r="D75" i="18"/>
  <c r="G73" i="18"/>
  <c r="J76" i="18"/>
  <c r="D104" i="18"/>
  <c r="G100" i="18"/>
  <c r="D85" i="18"/>
  <c r="D79" i="18"/>
  <c r="D100" i="18"/>
  <c r="G108" i="18"/>
  <c r="D105" i="18"/>
  <c r="D96" i="18"/>
  <c r="G88" i="18"/>
  <c r="D99" i="18"/>
  <c r="G97" i="18"/>
  <c r="J108" i="18"/>
  <c r="D109" i="18"/>
  <c r="D87" i="18"/>
  <c r="G85" i="18"/>
  <c r="J109" i="18"/>
  <c r="J96" i="18"/>
  <c r="G77" i="18"/>
  <c r="J92" i="18"/>
  <c r="D93" i="18"/>
  <c r="J97" i="18"/>
  <c r="D103" i="18"/>
  <c r="D84" i="18"/>
  <c r="D77" i="18"/>
  <c r="D91" i="18"/>
  <c r="G89" i="18"/>
  <c r="D88" i="18"/>
  <c r="G80" i="18"/>
  <c r="J89" i="18"/>
  <c r="J84" i="18"/>
  <c r="J101" i="18"/>
  <c r="G101" i="18"/>
  <c r="G92" i="18"/>
  <c r="J80" i="18"/>
  <c r="G104" i="18"/>
  <c r="D83" i="18"/>
  <c r="J93" i="18"/>
  <c r="D95" i="18"/>
  <c r="J74" i="18"/>
  <c r="D74" i="18"/>
  <c r="G74" i="18"/>
  <c r="J86" i="18"/>
  <c r="D86" i="18"/>
  <c r="G86" i="18"/>
  <c r="J98" i="18"/>
  <c r="D98" i="18"/>
  <c r="G98" i="18"/>
  <c r="J78" i="18"/>
  <c r="D78" i="18"/>
  <c r="G78" i="18"/>
  <c r="J106" i="18"/>
  <c r="D106" i="18"/>
  <c r="G106" i="18"/>
  <c r="J90" i="18"/>
  <c r="D90" i="18"/>
  <c r="G90" i="18"/>
  <c r="J102" i="18"/>
  <c r="D102" i="18"/>
  <c r="G102" i="18"/>
  <c r="J82" i="18"/>
  <c r="D82" i="18"/>
  <c r="G82" i="18"/>
  <c r="J94" i="18"/>
  <c r="D94" i="18"/>
  <c r="G94" i="18"/>
  <c r="J107" i="18"/>
  <c r="J103" i="18"/>
  <c r="J99" i="18"/>
  <c r="J95" i="18"/>
  <c r="J91" i="18"/>
  <c r="J87" i="18"/>
  <c r="J83" i="18"/>
  <c r="J79" i="18"/>
  <c r="J75" i="18"/>
  <c r="A70" i="18" l="1"/>
  <c r="B70" i="18"/>
  <c r="E70" i="18"/>
  <c r="H70" i="18"/>
  <c r="A71" i="18"/>
  <c r="B71" i="18"/>
  <c r="E71" i="18"/>
  <c r="H71" i="18"/>
  <c r="A72" i="18"/>
  <c r="B72" i="18"/>
  <c r="E72" i="18"/>
  <c r="H72" i="18"/>
  <c r="E16" i="18"/>
  <c r="D71" i="18" l="1"/>
  <c r="J71" i="18"/>
  <c r="D72" i="18"/>
  <c r="J72" i="18"/>
  <c r="D70" i="18"/>
  <c r="J70" i="18"/>
  <c r="G70" i="18"/>
  <c r="G71" i="18"/>
  <c r="G72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6" i="18"/>
  <c r="E7" i="18"/>
  <c r="E8" i="18"/>
  <c r="E9" i="18"/>
  <c r="E10" i="18"/>
  <c r="E11" i="18"/>
  <c r="E12" i="18"/>
  <c r="E13" i="18"/>
  <c r="E14" i="18"/>
  <c r="E15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6" i="18"/>
  <c r="A7" i="18"/>
  <c r="J7" i="18" s="1"/>
  <c r="A8" i="18"/>
  <c r="J8" i="18" s="1"/>
  <c r="A9" i="18"/>
  <c r="J9" i="18" s="1"/>
  <c r="A10" i="18"/>
  <c r="J10" i="18" s="1"/>
  <c r="A11" i="18"/>
  <c r="J11" i="18" s="1"/>
  <c r="A12" i="18"/>
  <c r="J12" i="18" s="1"/>
  <c r="A13" i="18"/>
  <c r="J13" i="18" s="1"/>
  <c r="A14" i="18"/>
  <c r="J14" i="18" s="1"/>
  <c r="A15" i="18"/>
  <c r="J15" i="18" s="1"/>
  <c r="A16" i="18"/>
  <c r="J16" i="18" s="1"/>
  <c r="A17" i="18"/>
  <c r="J17" i="18" s="1"/>
  <c r="A18" i="18"/>
  <c r="J18" i="18" s="1"/>
  <c r="A19" i="18"/>
  <c r="J19" i="18" s="1"/>
  <c r="A20" i="18"/>
  <c r="J20" i="18" s="1"/>
  <c r="A21" i="18"/>
  <c r="J21" i="18" s="1"/>
  <c r="A22" i="18"/>
  <c r="J22" i="18" s="1"/>
  <c r="A23" i="18"/>
  <c r="J23" i="18" s="1"/>
  <c r="A24" i="18"/>
  <c r="J24" i="18" s="1"/>
  <c r="A25" i="18"/>
  <c r="J25" i="18" s="1"/>
  <c r="A26" i="18"/>
  <c r="J26" i="18" s="1"/>
  <c r="A27" i="18"/>
  <c r="J27" i="18" s="1"/>
  <c r="A28" i="18"/>
  <c r="J28" i="18" s="1"/>
  <c r="A29" i="18"/>
  <c r="J29" i="18" s="1"/>
  <c r="A30" i="18"/>
  <c r="J30" i="18" s="1"/>
  <c r="A31" i="18"/>
  <c r="J31" i="18" s="1"/>
  <c r="A32" i="18"/>
  <c r="J32" i="18" s="1"/>
  <c r="A33" i="18"/>
  <c r="J33" i="18" s="1"/>
  <c r="A34" i="18"/>
  <c r="J34" i="18" s="1"/>
  <c r="A35" i="18"/>
  <c r="J35" i="18" s="1"/>
  <c r="A36" i="18"/>
  <c r="J36" i="18" s="1"/>
  <c r="A37" i="18"/>
  <c r="J37" i="18" s="1"/>
  <c r="A38" i="18"/>
  <c r="J38" i="18" s="1"/>
  <c r="A39" i="18"/>
  <c r="J39" i="18" s="1"/>
  <c r="A40" i="18"/>
  <c r="J40" i="18" s="1"/>
  <c r="A41" i="18"/>
  <c r="J41" i="18" s="1"/>
  <c r="A42" i="18"/>
  <c r="J42" i="18" s="1"/>
  <c r="A43" i="18"/>
  <c r="J43" i="18" s="1"/>
  <c r="A44" i="18"/>
  <c r="J44" i="18" s="1"/>
  <c r="A45" i="18"/>
  <c r="J45" i="18" s="1"/>
  <c r="A46" i="18"/>
  <c r="J46" i="18" s="1"/>
  <c r="A47" i="18"/>
  <c r="J47" i="18" s="1"/>
  <c r="A48" i="18"/>
  <c r="J48" i="18" s="1"/>
  <c r="A49" i="18"/>
  <c r="J49" i="18" s="1"/>
  <c r="A50" i="18"/>
  <c r="J50" i="18" s="1"/>
  <c r="A51" i="18"/>
  <c r="J51" i="18" s="1"/>
  <c r="A52" i="18"/>
  <c r="J52" i="18" s="1"/>
  <c r="A53" i="18"/>
  <c r="J53" i="18" s="1"/>
  <c r="A54" i="18"/>
  <c r="J54" i="18" s="1"/>
  <c r="A55" i="18"/>
  <c r="J55" i="18" s="1"/>
  <c r="A56" i="18"/>
  <c r="J56" i="18" s="1"/>
  <c r="A57" i="18"/>
  <c r="J57" i="18" s="1"/>
  <c r="A58" i="18"/>
  <c r="J58" i="18" s="1"/>
  <c r="A59" i="18"/>
  <c r="J59" i="18" s="1"/>
  <c r="A60" i="18"/>
  <c r="J60" i="18" s="1"/>
  <c r="A61" i="18"/>
  <c r="J61" i="18" s="1"/>
  <c r="A62" i="18"/>
  <c r="J62" i="18" s="1"/>
  <c r="A63" i="18"/>
  <c r="J63" i="18" s="1"/>
  <c r="A64" i="18"/>
  <c r="J64" i="18" s="1"/>
  <c r="A65" i="18"/>
  <c r="J65" i="18" s="1"/>
  <c r="A66" i="18"/>
  <c r="J66" i="18" s="1"/>
  <c r="A67" i="18"/>
  <c r="J67" i="18" s="1"/>
  <c r="A68" i="18"/>
  <c r="J68" i="18" s="1"/>
  <c r="A69" i="18"/>
  <c r="J69" i="18" s="1"/>
  <c r="A6" i="18"/>
  <c r="J6" i="18" s="1"/>
  <c r="K4" i="18"/>
  <c r="J4" i="18"/>
  <c r="H4" i="18"/>
  <c r="G4" i="18"/>
  <c r="E4" i="18"/>
  <c r="D4" i="18"/>
  <c r="B4" i="18"/>
  <c r="A4" i="18"/>
  <c r="G67" i="18" l="1"/>
  <c r="G63" i="18"/>
  <c r="G59" i="18"/>
  <c r="G55" i="18"/>
  <c r="G51" i="18"/>
  <c r="G47" i="18"/>
  <c r="G43" i="18"/>
  <c r="G39" i="18"/>
  <c r="G35" i="18"/>
  <c r="G31" i="18"/>
  <c r="G27" i="18"/>
  <c r="G23" i="18"/>
  <c r="G19" i="18"/>
  <c r="G15" i="18"/>
  <c r="G11" i="18"/>
  <c r="G7" i="18"/>
  <c r="D67" i="18"/>
  <c r="D63" i="18"/>
  <c r="D59" i="18"/>
  <c r="D55" i="18"/>
  <c r="D51" i="18"/>
  <c r="D47" i="18"/>
  <c r="D43" i="18"/>
  <c r="D39" i="18"/>
  <c r="D35" i="18"/>
  <c r="D31" i="18"/>
  <c r="D27" i="18"/>
  <c r="D23" i="18"/>
  <c r="D19" i="18"/>
  <c r="D15" i="18"/>
  <c r="D11" i="18"/>
  <c r="D7" i="18"/>
  <c r="G68" i="18"/>
  <c r="G64" i="18"/>
  <c r="G60" i="18"/>
  <c r="G56" i="18"/>
  <c r="G52" i="18"/>
  <c r="G48" i="18"/>
  <c r="G44" i="18"/>
  <c r="G40" i="18"/>
  <c r="G36" i="18"/>
  <c r="G32" i="18"/>
  <c r="G28" i="18"/>
  <c r="G24" i="18"/>
  <c r="G20" i="18"/>
  <c r="G16" i="18"/>
  <c r="G12" i="18"/>
  <c r="G8" i="18"/>
  <c r="D68" i="18"/>
  <c r="D64" i="18"/>
  <c r="D60" i="18"/>
  <c r="D56" i="18"/>
  <c r="D52" i="18"/>
  <c r="D48" i="18"/>
  <c r="D44" i="18"/>
  <c r="D40" i="18"/>
  <c r="D36" i="18"/>
  <c r="D32" i="18"/>
  <c r="D28" i="18"/>
  <c r="D24" i="18"/>
  <c r="D20" i="18"/>
  <c r="D16" i="18"/>
  <c r="D12" i="18"/>
  <c r="D8" i="18"/>
  <c r="G69" i="18"/>
  <c r="G65" i="18"/>
  <c r="G61" i="18"/>
  <c r="G57" i="18"/>
  <c r="G53" i="18"/>
  <c r="G49" i="18"/>
  <c r="G45" i="18"/>
  <c r="G41" i="18"/>
  <c r="G37" i="18"/>
  <c r="G33" i="18"/>
  <c r="G29" i="18"/>
  <c r="G25" i="18"/>
  <c r="G21" i="18"/>
  <c r="G17" i="18"/>
  <c r="G13" i="18"/>
  <c r="G9" i="18"/>
  <c r="D69" i="18"/>
  <c r="D65" i="18"/>
  <c r="D61" i="18"/>
  <c r="D57" i="18"/>
  <c r="D53" i="18"/>
  <c r="D49" i="18"/>
  <c r="D45" i="18"/>
  <c r="D41" i="18"/>
  <c r="D37" i="18"/>
  <c r="D33" i="18"/>
  <c r="D29" i="18"/>
  <c r="D25" i="18"/>
  <c r="D21" i="18"/>
  <c r="D17" i="18"/>
  <c r="D13" i="18"/>
  <c r="D9" i="18"/>
  <c r="G6" i="18"/>
  <c r="G66" i="18"/>
  <c r="G62" i="18"/>
  <c r="G58" i="18"/>
  <c r="G54" i="18"/>
  <c r="G50" i="18"/>
  <c r="G46" i="18"/>
  <c r="G42" i="18"/>
  <c r="G38" i="18"/>
  <c r="G34" i="18"/>
  <c r="G30" i="18"/>
  <c r="G26" i="18"/>
  <c r="G22" i="18"/>
  <c r="G18" i="18"/>
  <c r="G14" i="18"/>
  <c r="G10" i="18"/>
  <c r="D6" i="18"/>
  <c r="D66" i="18"/>
  <c r="D62" i="18"/>
  <c r="D58" i="18"/>
  <c r="D54" i="18"/>
  <c r="D50" i="18"/>
  <c r="D46" i="18"/>
  <c r="D42" i="18"/>
  <c r="D38" i="18"/>
  <c r="D34" i="18"/>
  <c r="D30" i="18"/>
  <c r="D26" i="18"/>
  <c r="D22" i="18"/>
  <c r="D18" i="18"/>
  <c r="D14" i="18"/>
  <c r="D10" i="18"/>
</calcChain>
</file>

<file path=xl/comments1.xml><?xml version="1.0" encoding="utf-8"?>
<comments xmlns="http://schemas.openxmlformats.org/spreadsheetml/2006/main">
  <authors>
    <author>Kaushik Sirvole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A, B, C of the tensioner / HOM equipment settings curve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maximum tensions for each case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Stiffness at the hang-off connection</t>
        </r>
      </text>
    </comment>
  </commentList>
</comments>
</file>

<file path=xl/sharedStrings.xml><?xml version="1.0" encoding="utf-8"?>
<sst xmlns="http://schemas.openxmlformats.org/spreadsheetml/2006/main" count="267" uniqueCount="177">
  <si>
    <t>Period</t>
  </si>
  <si>
    <t>Command</t>
  </si>
  <si>
    <t>Label</t>
  </si>
  <si>
    <t>Duplicate - Script file name</t>
  </si>
  <si>
    <t>Duplicate - Sheet base name</t>
  </si>
  <si>
    <t>SpecifiedPeriodFrom</t>
  </si>
  <si>
    <t>SpecifiedPeriodTo</t>
  </si>
  <si>
    <t>Duplicate - Xoffset</t>
  </si>
  <si>
    <t>Duplicate - Yoffset</t>
  </si>
  <si>
    <t>Duplicate - Different sheets</t>
  </si>
  <si>
    <t>Duplicate - Specified Files</t>
  </si>
  <si>
    <t>Duplicate - Number of Files</t>
  </si>
  <si>
    <t>Duplicate - First File</t>
  </si>
  <si>
    <t>Results</t>
  </si>
  <si>
    <t>Example1</t>
  </si>
  <si>
    <t>A1</t>
  </si>
  <si>
    <t>script.txt</t>
  </si>
  <si>
    <t>untitled.sim</t>
  </si>
  <si>
    <t>ArcLength</t>
  </si>
  <si>
    <t>Section</t>
  </si>
  <si>
    <t>A2</t>
  </si>
  <si>
    <t>Version</t>
  </si>
  <si>
    <t>OverwriteLabels</t>
  </si>
  <si>
    <t>ClearanceLineindex</t>
  </si>
  <si>
    <t>FileName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</si>
  <si>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</si>
  <si>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</si>
  <si>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</si>
  <si>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</si>
  <si>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</si>
  <si>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</si>
  <si>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</si>
  <si>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Radius</t>
  </si>
  <si>
    <t>ArcLengthRange</t>
  </si>
  <si>
    <t>SubObject</t>
  </si>
  <si>
    <t>ResultsSheetName</t>
  </si>
  <si>
    <t>Theta</t>
  </si>
  <si>
    <t>FromArcLength</t>
  </si>
  <si>
    <t>ToArcLength</t>
  </si>
  <si>
    <t>UseDefaultLabel</t>
  </si>
  <si>
    <t>SelectedVarIDs</t>
  </si>
  <si>
    <t>WinchConnectionPoint</t>
  </si>
  <si>
    <t>WingIndex</t>
  </si>
  <si>
    <t>ClearSheetName</t>
  </si>
  <si>
    <t>SourceSheetName</t>
  </si>
  <si>
    <t>DestinationSheetName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</si>
  <si>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</si>
  <si>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</si>
  <si>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</si>
  <si>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</si>
  <si>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</si>
  <si>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</si>
  <si>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</si>
  <si>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</si>
  <si>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</si>
  <si>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Position.X</t>
  </si>
  <si>
    <t>Position.Y</t>
  </si>
  <si>
    <t>Sheet2</t>
  </si>
  <si>
    <t>A1:E10</t>
  </si>
  <si>
    <t>Position.Z (Global)</t>
  </si>
  <si>
    <t>Position.Z (Local)</t>
  </si>
  <si>
    <t>Requires</t>
  </si>
  <si>
    <t>BatchName</t>
  </si>
  <si>
    <t>DraughtName</t>
  </si>
  <si>
    <t>RAOsName</t>
  </si>
  <si>
    <t>DirectionName</t>
  </si>
  <si>
    <t>CurrentOrWaveTrainName</t>
  </si>
  <si>
    <t>9.3c1</t>
  </si>
  <si>
    <t>IgnoreErrors</t>
  </si>
  <si>
    <t>ContainsDependencies</t>
  </si>
  <si>
    <t>InstructionsSheetIndex</t>
  </si>
  <si>
    <t>Duplicate - Duplicate Labels</t>
  </si>
  <si>
    <t>9.4f</t>
  </si>
  <si>
    <t>A [kNm/t2]</t>
  </si>
  <si>
    <t>B [kNm/t]</t>
  </si>
  <si>
    <t>C [kNm]</t>
  </si>
  <si>
    <t>Main Tensioner</t>
  </si>
  <si>
    <t>Empty</t>
  </si>
  <si>
    <t>Flooded</t>
  </si>
  <si>
    <t>HOC</t>
  </si>
  <si>
    <t>HOM Exit Point</t>
  </si>
  <si>
    <t>Pivot Angle (deg)</t>
  </si>
  <si>
    <t>X for Reel Lay (m)</t>
  </si>
  <si>
    <t>Z for Reel Lay (m)</t>
  </si>
  <si>
    <t>Tensioner Exit Point</t>
  </si>
  <si>
    <t>X</t>
  </si>
  <si>
    <t>Z</t>
  </si>
  <si>
    <t>Arc Length</t>
  </si>
  <si>
    <t>Effective Tension (kN)</t>
  </si>
  <si>
    <t>Bend Moment (kN.m)</t>
  </si>
  <si>
    <t>Tension (kN)</t>
  </si>
  <si>
    <t>Bending Moment (kNm)</t>
  </si>
  <si>
    <t>Distance From Exit (m)</t>
  </si>
  <si>
    <t>Deflection  (m)</t>
  </si>
  <si>
    <t>TEN</t>
  </si>
  <si>
    <t>For Reel Lay</t>
  </si>
  <si>
    <t>For J-Lay</t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</si>
  <si>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</si>
  <si>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+ 5/sinθ </t>
    </r>
    <r>
      <rPr>
        <sz val="10"/>
        <rFont val="Arial"/>
        <family val="2"/>
      </rPr>
      <t>)</t>
    </r>
  </si>
  <si>
    <r>
      <t>Z-coordinate for HOM exit point = -( 3.68 + 1.025sin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</si>
  <si>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t>Pin #</t>
  </si>
  <si>
    <t>X for J-Lay (m)</t>
  </si>
  <si>
    <t>Z for J-Lay (m)</t>
  </si>
  <si>
    <r>
      <t>X-coordinate for Tensioner exit point = 13.6cos</t>
    </r>
    <r>
      <rPr>
        <sz val="10"/>
        <rFont val="Arial"/>
        <family val="2"/>
      </rPr>
      <t>θ</t>
    </r>
  </si>
  <si>
    <r>
      <t>Z-coordinate for Tensioner exit point = 13.6sin</t>
    </r>
    <r>
      <rPr>
        <sz val="10"/>
        <rFont val="Arial"/>
        <family val="2"/>
      </rPr>
      <t>θ</t>
    </r>
  </si>
  <si>
    <t>Inputs</t>
  </si>
  <si>
    <t>HOM</t>
  </si>
  <si>
    <t>YES</t>
  </si>
  <si>
    <t>NO</t>
  </si>
  <si>
    <t xml:space="preserve">Vessel "X" position(m) </t>
  </si>
  <si>
    <t xml:space="preserve">Vessel "Z" position (m) </t>
  </si>
  <si>
    <t xml:space="preserve">Length of Pipe (m) </t>
  </si>
  <si>
    <t xml:space="preserve">Length of Winch (m) </t>
  </si>
  <si>
    <t>Client:</t>
  </si>
  <si>
    <t>Prepared By:</t>
  </si>
  <si>
    <t>Project:</t>
  </si>
  <si>
    <t>Date:</t>
  </si>
  <si>
    <t>Subsea</t>
  </si>
  <si>
    <t>Job No.:</t>
  </si>
  <si>
    <t>Checked By:</t>
  </si>
  <si>
    <t>11720 Katy Freeway, Houston, TX 77079, U.S.A.</t>
  </si>
  <si>
    <t>Subject/Case:</t>
  </si>
  <si>
    <t>Bending Stress Factor</t>
  </si>
  <si>
    <t>BATCH RUN</t>
  </si>
  <si>
    <t>ANGLES</t>
  </si>
  <si>
    <t>Rev.</t>
  </si>
  <si>
    <t>Status</t>
  </si>
  <si>
    <t>Date</t>
  </si>
  <si>
    <t>Written By</t>
  </si>
  <si>
    <t>Checked By</t>
  </si>
  <si>
    <t>Approved By</t>
  </si>
  <si>
    <t>Original Issue</t>
  </si>
  <si>
    <t>K. Sirvole</t>
  </si>
  <si>
    <t>Original Draft</t>
  </si>
  <si>
    <t>Tolerance</t>
  </si>
  <si>
    <t>Create base files for PEMS analysis (empty and flooded)</t>
  </si>
  <si>
    <t>3. Populate all the tower angles to be analyzed</t>
  </si>
  <si>
    <t>OFFLINE ?</t>
  </si>
  <si>
    <t>PEMS ANALYSIS - DEEP BLUE</t>
  </si>
  <si>
    <t>HOM/TEN</t>
  </si>
  <si>
    <t>HOM + TEN</t>
  </si>
  <si>
    <t>EMPTY / FLOODED</t>
  </si>
  <si>
    <t>Empty + Flooded</t>
  </si>
  <si>
    <t>Updated Code</t>
  </si>
  <si>
    <t>Record of Change</t>
  </si>
  <si>
    <t>READY</t>
  </si>
  <si>
    <t>KSI</t>
  </si>
  <si>
    <t>xxx</t>
  </si>
  <si>
    <t>TECHNIPFMC USA</t>
  </si>
  <si>
    <t>Input the pipe Identifier</t>
  </si>
  <si>
    <t>XXX</t>
  </si>
  <si>
    <t>xxxx</t>
  </si>
  <si>
    <t>STEPS</t>
  </si>
  <si>
    <t>Populate the input parameters below</t>
  </si>
  <si>
    <t>EQUIPMENT SETTINGS</t>
  </si>
  <si>
    <t>ANALYSIS PARAMETERS</t>
  </si>
  <si>
    <t xml:space="preserve">The PEMS analysis program requires the following python packages installed </t>
  </si>
  <si>
    <t>xlwings</t>
  </si>
  <si>
    <t>numpy</t>
  </si>
  <si>
    <t>scipy</t>
  </si>
  <si>
    <t>csv</t>
  </si>
  <si>
    <t>Make sure that the above packages are installed in the python package, if not these can be manually installed.</t>
  </si>
  <si>
    <t>ThePEMS basefiles for empty and flooded cases should be before proceding with the analysis</t>
  </si>
  <si>
    <t>PEMS_base_F.dat</t>
  </si>
  <si>
    <t>PEMS_base_E.dat</t>
  </si>
  <si>
    <t>Input the equipment settings info for the pipeline</t>
  </si>
  <si>
    <t>Populate the tower angles and corresponding pipe hang off and content conditions for each case.</t>
  </si>
  <si>
    <t>REQUIREMENT</t>
  </si>
  <si>
    <t>BASE FILES</t>
  </si>
  <si>
    <t>INPUT REQUIRED CASES</t>
  </si>
  <si>
    <t>RUN</t>
  </si>
  <si>
    <t>Once all the data is input and base files set in the folder, press RUN button</t>
  </si>
  <si>
    <t>Pipe Identification</t>
  </si>
  <si>
    <t>PIP</t>
  </si>
  <si>
    <t>PIP_TEN_F_80</t>
  </si>
  <si>
    <t>Max. Tension [Te]</t>
  </si>
  <si>
    <t>Stiffness [kNm/deg]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</si>
</sst>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0"/>
    <numFmt numFmtId="165" formatCode="0.000"/>
    <numFmt numFmtId="166" formatCode="0.0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FF"/>
      <name val="Arial"/>
      <family val="2"/>
    </font>
    <font>
      <b/>
      <sz val="24"/>
      <color theme="3"/>
      <name val="Cambria"/>
      <family val="2"/>
      <scheme val="major"/>
    </font>
    <font>
      <b/>
      <sz val="14"/>
      <color rgb="FFFF0000"/>
      <name val="Calibri"/>
      <family val="2"/>
      <scheme val="minor"/>
    </font>
    <font>
      <b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theme="3"/>
      <name val="Calibri"/>
      <family val="2"/>
      <scheme val="minor"/>
    </font>
    <font>
      <b/>
      <sz val="28"/>
      <color theme="1"/>
      <name val="Arial"/>
      <family val="2"/>
    </font>
    <font>
      <b/>
      <sz val="24"/>
      <color rgb="FFFF0000"/>
      <name val="Arial"/>
      <family val="2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b/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5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4" fillId="0" borderId="0"/>
    <xf numFmtId="0" fontId="3" fillId="0" borderId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19">
    <xf numFmtId="0" fontId="0" fillId="0" borderId="0" xfId="0"/>
    <xf numFmtId="0" fontId="0" fillId="0" borderId="0" xfId="0" applyAlignment="1">
      <alignment horizontal="left"/>
    </xf>
    <xf numFmtId="0" fontId="7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6" fillId="0" borderId="5" xfId="0" applyFont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0" fillId="0" borderId="0" xfId="0" applyBorder="1"/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6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0" fillId="0" borderId="8" xfId="0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9" fillId="0" borderId="0" xfId="0" applyFont="1" applyAlignment="1">
      <alignment wrapText="1"/>
    </xf>
    <xf numFmtId="0" fontId="9" fillId="2" borderId="0" xfId="0" applyFont="1" applyFill="1" applyAlignment="1">
      <alignment wrapText="1"/>
    </xf>
    <xf numFmtId="0" fontId="10" fillId="0" borderId="0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/>
    </xf>
    <xf numFmtId="0" fontId="9" fillId="0" borderId="0" xfId="0" applyFont="1" applyFill="1" applyBorder="1"/>
    <xf numFmtId="2" fontId="9" fillId="0" borderId="0" xfId="0" applyNumberFormat="1" applyFont="1"/>
    <xf numFmtId="0" fontId="9" fillId="0" borderId="0" xfId="0" applyFont="1"/>
    <xf numFmtId="0" fontId="9" fillId="0" borderId="0" xfId="0" applyNumberFormat="1" applyFont="1"/>
    <xf numFmtId="0" fontId="9" fillId="0" borderId="0" xfId="0" applyFont="1" applyFill="1"/>
    <xf numFmtId="0" fontId="9" fillId="0" borderId="0" xfId="0" applyFont="1" applyFill="1" applyAlignment="1">
      <alignment wrapText="1"/>
    </xf>
    <xf numFmtId="0" fontId="10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2" fontId="9" fillId="0" borderId="0" xfId="0" applyNumberFormat="1" applyFont="1" applyFill="1"/>
    <xf numFmtId="0" fontId="9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Border="1"/>
    <xf numFmtId="2" fontId="9" fillId="0" borderId="0" xfId="0" applyNumberFormat="1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0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24" xfId="0" applyFont="1" applyBorder="1"/>
    <xf numFmtId="0" fontId="9" fillId="0" borderId="6" xfId="0" applyFont="1" applyBorder="1"/>
    <xf numFmtId="0" fontId="9" fillId="0" borderId="4" xfId="0" applyFont="1" applyBorder="1"/>
    <xf numFmtId="0" fontId="9" fillId="0" borderId="2" xfId="0" applyFont="1" applyBorder="1"/>
    <xf numFmtId="0" fontId="9" fillId="0" borderId="6" xfId="0" applyFont="1" applyFill="1" applyBorder="1" applyAlignment="1">
      <alignment vertical="center"/>
    </xf>
    <xf numFmtId="0" fontId="0" fillId="0" borderId="3" xfId="0" applyBorder="1"/>
    <xf numFmtId="2" fontId="9" fillId="0" borderId="0" xfId="0" applyNumberFormat="1" applyFont="1" applyBorder="1"/>
    <xf numFmtId="0" fontId="19" fillId="0" borderId="0" xfId="0" applyFont="1" applyBorder="1"/>
    <xf numFmtId="0" fontId="9" fillId="0" borderId="3" xfId="0" applyFont="1" applyBorder="1" applyAlignment="1">
      <alignment vertical="center"/>
    </xf>
    <xf numFmtId="0" fontId="7" fillId="0" borderId="0" xfId="5"/>
    <xf numFmtId="0" fontId="20" fillId="0" borderId="27" xfId="5" applyFont="1" applyBorder="1" applyAlignment="1">
      <alignment horizontal="center" vertical="center" wrapText="1"/>
    </xf>
    <xf numFmtId="0" fontId="20" fillId="0" borderId="28" xfId="5" applyFont="1" applyBorder="1" applyAlignment="1">
      <alignment horizontal="center" vertical="center" wrapText="1"/>
    </xf>
    <xf numFmtId="0" fontId="20" fillId="0" borderId="29" xfId="5" applyFont="1" applyBorder="1" applyAlignment="1">
      <alignment horizontal="center" vertical="center" wrapText="1"/>
    </xf>
    <xf numFmtId="0" fontId="7" fillId="0" borderId="30" xfId="5" applyBorder="1" applyAlignment="1">
      <alignment horizontal="center" vertical="center"/>
    </xf>
    <xf numFmtId="0" fontId="7" fillId="0" borderId="31" xfId="5" applyFont="1" applyBorder="1" applyAlignment="1">
      <alignment horizontal="center" vertical="center"/>
    </xf>
    <xf numFmtId="14" fontId="7" fillId="0" borderId="31" xfId="5" applyNumberFormat="1" applyBorder="1" applyAlignment="1">
      <alignment horizontal="center" vertical="center"/>
    </xf>
    <xf numFmtId="0" fontId="7" fillId="0" borderId="32" xfId="5" applyFont="1" applyBorder="1" applyAlignment="1">
      <alignment horizontal="center" vertical="center"/>
    </xf>
    <xf numFmtId="0" fontId="7" fillId="0" borderId="33" xfId="5" applyBorder="1" applyAlignment="1">
      <alignment horizontal="center" vertical="center"/>
    </xf>
    <xf numFmtId="0" fontId="7" fillId="0" borderId="8" xfId="5" applyFont="1" applyBorder="1" applyAlignment="1">
      <alignment horizontal="center" vertical="center"/>
    </xf>
    <xf numFmtId="14" fontId="7" fillId="0" borderId="8" xfId="5" applyNumberFormat="1" applyBorder="1" applyAlignment="1">
      <alignment horizontal="center" vertical="center"/>
    </xf>
    <xf numFmtId="0" fontId="7" fillId="0" borderId="8" xfId="5" applyFont="1" applyBorder="1" applyAlignment="1">
      <alignment horizontal="center" vertical="center" wrapText="1"/>
    </xf>
    <xf numFmtId="0" fontId="7" fillId="0" borderId="34" xfId="5" applyFont="1" applyBorder="1" applyAlignment="1">
      <alignment horizontal="center" vertical="center"/>
    </xf>
    <xf numFmtId="0" fontId="7" fillId="0" borderId="25" xfId="5" applyBorder="1" applyAlignment="1">
      <alignment horizontal="center" vertical="center"/>
    </xf>
    <xf numFmtId="14" fontId="7" fillId="0" borderId="9" xfId="5" applyNumberFormat="1" applyBorder="1" applyAlignment="1">
      <alignment horizontal="center" vertical="center"/>
    </xf>
    <xf numFmtId="0" fontId="7" fillId="0" borderId="9" xfId="5" applyFont="1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0" borderId="35" xfId="5" applyFont="1" applyBorder="1" applyAlignment="1">
      <alignment horizontal="left" vertical="center" wrapText="1"/>
    </xf>
    <xf numFmtId="0" fontId="7" fillId="0" borderId="8" xfId="5" applyBorder="1" applyAlignment="1">
      <alignment horizontal="center" vertical="center"/>
    </xf>
    <xf numFmtId="0" fontId="7" fillId="0" borderId="34" xfId="5" applyFont="1" applyBorder="1" applyAlignment="1">
      <alignment horizontal="left" vertical="center"/>
    </xf>
    <xf numFmtId="0" fontId="7" fillId="0" borderId="34" xfId="5" applyBorder="1" applyAlignment="1">
      <alignment horizontal="left" vertical="center"/>
    </xf>
    <xf numFmtId="0" fontId="7" fillId="0" borderId="36" xfId="5" applyBorder="1" applyAlignment="1">
      <alignment horizontal="center" vertical="center"/>
    </xf>
    <xf numFmtId="0" fontId="7" fillId="0" borderId="37" xfId="5" applyBorder="1" applyAlignment="1">
      <alignment horizontal="center" vertical="center"/>
    </xf>
    <xf numFmtId="0" fontId="7" fillId="0" borderId="38" xfId="5" applyBorder="1" applyAlignment="1">
      <alignment horizontal="left" vertical="center"/>
    </xf>
    <xf numFmtId="0" fontId="23" fillId="0" borderId="0" xfId="5" applyFont="1" applyBorder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10" xfId="0" applyBorder="1"/>
    <xf numFmtId="0" fontId="0" fillId="0" borderId="13" xfId="0" applyBorder="1"/>
    <xf numFmtId="0" fontId="0" fillId="0" borderId="11" xfId="0" applyBorder="1"/>
    <xf numFmtId="0" fontId="23" fillId="0" borderId="0" xfId="5" applyFont="1" applyBorder="1" applyAlignment="1">
      <alignment vertical="top"/>
    </xf>
    <xf numFmtId="2" fontId="24" fillId="0" borderId="0" xfId="0" applyNumberFormat="1" applyFont="1" applyBorder="1" applyAlignment="1">
      <alignment horizontal="left" vertical="center" indent="3"/>
    </xf>
    <xf numFmtId="0" fontId="0" fillId="0" borderId="6" xfId="0" applyBorder="1"/>
    <xf numFmtId="0" fontId="0" fillId="0" borderId="4" xfId="0" applyBorder="1"/>
    <xf numFmtId="0" fontId="0" fillId="0" borderId="24" xfId="0" applyBorder="1"/>
    <xf numFmtId="0" fontId="0" fillId="0" borderId="2" xfId="0" applyBorder="1"/>
    <xf numFmtId="0" fontId="9" fillId="0" borderId="0" xfId="0" applyNumberFormat="1" applyFont="1" applyBorder="1"/>
    <xf numFmtId="0" fontId="6" fillId="3" borderId="0" xfId="2" applyFont="1" applyFill="1" applyBorder="1" applyAlignment="1" applyProtection="1">
      <alignment vertical="center"/>
    </xf>
    <xf numFmtId="0" fontId="7" fillId="3" borderId="0" xfId="2" applyFont="1" applyFill="1" applyBorder="1" applyAlignment="1" applyProtection="1">
      <alignment horizontal="left"/>
    </xf>
    <xf numFmtId="0" fontId="15" fillId="3" borderId="0" xfId="11" applyFont="1" applyFill="1" applyBorder="1" applyProtection="1"/>
    <xf numFmtId="0" fontId="7" fillId="3" borderId="0" xfId="2" applyFont="1" applyFill="1" applyBorder="1" applyProtection="1"/>
    <xf numFmtId="0" fontId="17" fillId="3" borderId="24" xfId="2" applyFont="1" applyFill="1" applyBorder="1" applyAlignment="1" applyProtection="1"/>
    <xf numFmtId="0" fontId="7" fillId="0" borderId="23" xfId="2" applyFont="1" applyFill="1" applyBorder="1" applyAlignment="1" applyProtection="1"/>
    <xf numFmtId="0" fontId="17" fillId="0" borderId="23" xfId="2" applyFont="1" applyFill="1" applyBorder="1" applyProtection="1">
      <protection locked="0"/>
    </xf>
    <xf numFmtId="0" fontId="7" fillId="0" borderId="23" xfId="2" applyFont="1" applyFill="1" applyBorder="1" applyProtection="1"/>
    <xf numFmtId="0" fontId="7" fillId="0" borderId="0" xfId="2" applyFont="1" applyFill="1" applyBorder="1" applyAlignment="1" applyProtection="1"/>
    <xf numFmtId="0" fontId="17" fillId="0" borderId="0" xfId="2" applyFont="1" applyFill="1" applyBorder="1" applyProtection="1">
      <protection locked="0"/>
    </xf>
    <xf numFmtId="0" fontId="7" fillId="0" borderId="0" xfId="2" applyFont="1" applyFill="1" applyBorder="1" applyProtection="1"/>
    <xf numFmtId="0" fontId="17" fillId="0" borderId="24" xfId="2" applyFont="1" applyFill="1" applyBorder="1" applyAlignment="1" applyProtection="1">
      <alignment horizontal="right" vertical="center"/>
    </xf>
    <xf numFmtId="0" fontId="17" fillId="0" borderId="24" xfId="2" applyFont="1" applyFill="1" applyBorder="1" applyAlignment="1" applyProtection="1"/>
    <xf numFmtId="0" fontId="15" fillId="0" borderId="24" xfId="11" applyFont="1" applyFill="1" applyBorder="1" applyProtection="1"/>
    <xf numFmtId="0" fontId="17" fillId="0" borderId="1" xfId="2" applyFont="1" applyFill="1" applyBorder="1" applyAlignment="1" applyProtection="1">
      <alignment horizontal="left"/>
      <protection locked="0"/>
    </xf>
    <xf numFmtId="14" fontId="17" fillId="0" borderId="6" xfId="2" applyNumberFormat="1" applyFont="1" applyFill="1" applyBorder="1" applyAlignment="1" applyProtection="1">
      <alignment horizontal="left"/>
      <protection locked="0"/>
    </xf>
    <xf numFmtId="0" fontId="17" fillId="0" borderId="6" xfId="2" applyFont="1" applyFill="1" applyBorder="1" applyAlignment="1" applyProtection="1">
      <alignment horizontal="left"/>
      <protection locked="0"/>
    </xf>
    <xf numFmtId="0" fontId="15" fillId="0" borderId="2" xfId="11" applyFont="1" applyFill="1" applyBorder="1" applyProtection="1"/>
    <xf numFmtId="0" fontId="16" fillId="0" borderId="7" xfId="0" applyFont="1" applyFill="1" applyBorder="1" applyAlignment="1">
      <alignment horizontal="center" vertical="center" wrapText="1"/>
    </xf>
    <xf numFmtId="11" fontId="30" fillId="2" borderId="16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7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8" xfId="5" applyNumberFormat="1" applyFont="1" applyFill="1" applyBorder="1" applyAlignment="1" applyProtection="1">
      <alignment horizontal="center" vertical="center" wrapText="1"/>
      <protection locked="0"/>
    </xf>
    <xf numFmtId="2" fontId="16" fillId="0" borderId="0" xfId="0" applyNumberFormat="1" applyFont="1" applyBorder="1" applyAlignment="1">
      <alignment horizontal="right"/>
    </xf>
    <xf numFmtId="0" fontId="16" fillId="0" borderId="9" xfId="0" applyFont="1" applyFill="1" applyBorder="1" applyAlignment="1">
      <alignment horizontal="center" vertical="center" wrapText="1"/>
    </xf>
    <xf numFmtId="11" fontId="31" fillId="0" borderId="20" xfId="5" applyNumberFormat="1" applyFont="1" applyFill="1" applyBorder="1" applyAlignment="1">
      <alignment horizontal="center" vertical="center" wrapText="1"/>
    </xf>
    <xf numFmtId="11" fontId="31" fillId="0" borderId="15" xfId="5" applyNumberFormat="1" applyFont="1" applyFill="1" applyBorder="1" applyAlignment="1">
      <alignment horizontal="center" vertical="center" wrapText="1"/>
    </xf>
    <xf numFmtId="11" fontId="31" fillId="0" borderId="21" xfId="5" applyNumberFormat="1" applyFont="1" applyFill="1" applyBorder="1" applyAlignment="1">
      <alignment horizontal="center" vertical="center" wrapText="1"/>
    </xf>
    <xf numFmtId="11" fontId="31" fillId="0" borderId="16" xfId="5" applyNumberFormat="1" applyFont="1" applyFill="1" applyBorder="1" applyAlignment="1">
      <alignment horizontal="center" vertical="center" wrapText="1"/>
    </xf>
    <xf numFmtId="11" fontId="31" fillId="0" borderId="17" xfId="5" applyNumberFormat="1" applyFont="1" applyFill="1" applyBorder="1" applyAlignment="1">
      <alignment horizontal="center" vertical="center" wrapText="1"/>
    </xf>
    <xf numFmtId="11" fontId="31" fillId="0" borderId="18" xfId="5" applyNumberFormat="1" applyFont="1" applyFill="1" applyBorder="1" applyAlignment="1">
      <alignment horizontal="center" vertical="center" wrapText="1"/>
    </xf>
    <xf numFmtId="11" fontId="30" fillId="2" borderId="20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5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21" xfId="5" applyNumberFormat="1" applyFont="1" applyFill="1" applyBorder="1" applyAlignment="1" applyProtection="1">
      <alignment horizontal="center" vertical="center" wrapText="1"/>
      <protection locked="0"/>
    </xf>
    <xf numFmtId="0" fontId="32" fillId="4" borderId="16" xfId="5" applyFont="1" applyFill="1" applyBorder="1" applyAlignment="1">
      <alignment vertical="center"/>
    </xf>
    <xf numFmtId="0" fontId="32" fillId="4" borderId="17" xfId="5" applyFont="1" applyFill="1" applyBorder="1" applyAlignment="1">
      <alignment horizontal="right" vertical="center"/>
    </xf>
    <xf numFmtId="0" fontId="32" fillId="3" borderId="12" xfId="5" applyFont="1" applyFill="1" applyBorder="1" applyAlignment="1">
      <alignment vertical="center"/>
    </xf>
    <xf numFmtId="0" fontId="32" fillId="3" borderId="0" xfId="5" applyFont="1" applyFill="1" applyBorder="1" applyAlignment="1">
      <alignment horizontal="right" vertical="center"/>
    </xf>
    <xf numFmtId="0" fontId="32" fillId="4" borderId="12" xfId="5" applyFont="1" applyFill="1" applyBorder="1" applyAlignment="1">
      <alignment vertical="center"/>
    </xf>
    <xf numFmtId="0" fontId="32" fillId="4" borderId="0" xfId="5" applyFont="1" applyFill="1" applyBorder="1" applyAlignment="1">
      <alignment horizontal="right" vertical="center"/>
    </xf>
    <xf numFmtId="2" fontId="12" fillId="4" borderId="19" xfId="5" applyNumberFormat="1" applyFont="1" applyFill="1" applyBorder="1" applyAlignment="1" applyProtection="1">
      <alignment horizontal="center" vertical="center"/>
    </xf>
    <xf numFmtId="0" fontId="32" fillId="0" borderId="12" xfId="5" applyFont="1" applyBorder="1" applyAlignment="1">
      <alignment vertical="center"/>
    </xf>
    <xf numFmtId="164" fontId="32" fillId="0" borderId="0" xfId="5" applyNumberFormat="1" applyFont="1" applyFill="1" applyBorder="1" applyAlignment="1">
      <alignment horizontal="right" vertical="center"/>
    </xf>
    <xf numFmtId="2" fontId="32" fillId="0" borderId="19" xfId="5" applyNumberFormat="1" applyFont="1" applyFill="1" applyBorder="1" applyAlignment="1" applyProtection="1">
      <alignment horizontal="center" vertical="center"/>
    </xf>
    <xf numFmtId="0" fontId="32" fillId="0" borderId="0" xfId="5" applyFont="1" applyFill="1" applyBorder="1" applyAlignment="1">
      <alignment horizontal="right" vertical="center"/>
    </xf>
    <xf numFmtId="0" fontId="32" fillId="0" borderId="20" xfId="5" applyFont="1" applyBorder="1"/>
    <xf numFmtId="0" fontId="23" fillId="0" borderId="3" xfId="5" applyFont="1" applyBorder="1" applyAlignment="1"/>
    <xf numFmtId="0" fontId="23" fillId="0" borderId="0" xfId="5" applyFont="1" applyBorder="1" applyAlignment="1">
      <alignment vertical="center"/>
    </xf>
    <xf numFmtId="0" fontId="10" fillId="0" borderId="3" xfId="0" applyFont="1" applyBorder="1" applyAlignment="1">
      <alignment horizontal="center" vertical="center" wrapText="1"/>
    </xf>
    <xf numFmtId="0" fontId="9" fillId="0" borderId="24" xfId="0" applyFont="1" applyFill="1" applyBorder="1"/>
    <xf numFmtId="0" fontId="25" fillId="0" borderId="0" xfId="0" applyFont="1" applyBorder="1" applyAlignment="1">
      <alignment horizontal="center" vertical="center"/>
    </xf>
    <xf numFmtId="2" fontId="29" fillId="0" borderId="3" xfId="0" applyNumberFormat="1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2" fontId="29" fillId="0" borderId="6" xfId="0" applyNumberFormat="1" applyFont="1" applyBorder="1" applyAlignment="1">
      <alignment horizontal="center" vertical="center"/>
    </xf>
    <xf numFmtId="2" fontId="12" fillId="2" borderId="19" xfId="5" applyNumberFormat="1" applyFont="1" applyFill="1" applyBorder="1" applyAlignment="1" applyProtection="1">
      <alignment horizontal="center" vertical="center"/>
      <protection locked="0"/>
    </xf>
    <xf numFmtId="0" fontId="12" fillId="2" borderId="21" xfId="5" applyFont="1" applyFill="1" applyBorder="1" applyAlignment="1" applyProtection="1">
      <alignment horizontal="center" vertical="center"/>
      <protection locked="0"/>
    </xf>
    <xf numFmtId="164" fontId="30" fillId="2" borderId="18" xfId="5" applyNumberFormat="1" applyFont="1" applyFill="1" applyBorder="1" applyAlignment="1" applyProtection="1">
      <alignment horizontal="center" vertical="center"/>
      <protection locked="0"/>
    </xf>
    <xf numFmtId="0" fontId="33" fillId="0" borderId="3" xfId="5" applyFont="1" applyBorder="1" applyAlignment="1"/>
    <xf numFmtId="0" fontId="33" fillId="0" borderId="3" xfId="5" applyFont="1" applyBorder="1" applyAlignment="1">
      <alignment vertical="top"/>
    </xf>
    <xf numFmtId="0" fontId="26" fillId="2" borderId="39" xfId="0" applyFont="1" applyFill="1" applyBorder="1" applyAlignment="1">
      <alignment horizontal="center" vertical="center"/>
    </xf>
    <xf numFmtId="0" fontId="26" fillId="2" borderId="40" xfId="0" applyFont="1" applyFill="1" applyBorder="1" applyAlignment="1">
      <alignment horizontal="center" vertical="center"/>
    </xf>
    <xf numFmtId="0" fontId="26" fillId="2" borderId="41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center"/>
    </xf>
    <xf numFmtId="0" fontId="32" fillId="0" borderId="15" xfId="5" applyFont="1" applyBorder="1" applyAlignment="1">
      <alignment horizontal="right" vertical="center"/>
    </xf>
    <xf numFmtId="2" fontId="31" fillId="0" borderId="20" xfId="5" applyNumberFormat="1" applyFont="1" applyFill="1" applyBorder="1" applyAlignment="1">
      <alignment horizontal="center" vertical="center" wrapText="1"/>
    </xf>
    <xf numFmtId="2" fontId="31" fillId="0" borderId="16" xfId="5" applyNumberFormat="1" applyFont="1" applyFill="1" applyBorder="1" applyAlignment="1">
      <alignment horizontal="center" vertical="center" wrapText="1"/>
    </xf>
    <xf numFmtId="2" fontId="30" fillId="2" borderId="20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42" xfId="5" applyNumberFormat="1" applyFont="1" applyFill="1" applyBorder="1" applyAlignment="1" applyProtection="1">
      <alignment horizontal="center" vertical="center" wrapText="1"/>
      <protection locked="0"/>
    </xf>
    <xf numFmtId="11" fontId="31" fillId="0" borderId="43" xfId="5" applyNumberFormat="1" applyFont="1" applyFill="1" applyBorder="1" applyAlignment="1">
      <alignment horizontal="center" vertical="center" wrapText="1"/>
    </xf>
    <xf numFmtId="11" fontId="31" fillId="0" borderId="42" xfId="5" applyNumberFormat="1" applyFont="1" applyFill="1" applyBorder="1" applyAlignment="1">
      <alignment horizontal="center" vertical="center" wrapText="1"/>
    </xf>
    <xf numFmtId="11" fontId="30" fillId="2" borderId="43" xfId="5" applyNumberFormat="1" applyFont="1" applyFill="1" applyBorder="1" applyAlignment="1" applyProtection="1">
      <alignment horizontal="center" vertical="center" wrapText="1"/>
      <protection locked="0"/>
    </xf>
    <xf numFmtId="2" fontId="30" fillId="2" borderId="12" xfId="5" applyNumberFormat="1" applyFont="1" applyFill="1" applyBorder="1" applyAlignment="1" applyProtection="1">
      <alignment horizontal="center" vertical="center" wrapText="1"/>
      <protection locked="0"/>
    </xf>
    <xf numFmtId="0" fontId="11" fillId="0" borderId="3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0" fillId="0" borderId="19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47" xfId="0" applyFont="1" applyFill="1" applyBorder="1" applyAlignment="1">
      <alignment horizontal="center" vertical="center" wrapText="1"/>
    </xf>
    <xf numFmtId="0" fontId="15" fillId="3" borderId="14" xfId="11" applyFont="1" applyFill="1" applyBorder="1" applyAlignment="1" applyProtection="1">
      <alignment horizontal="center"/>
    </xf>
    <xf numFmtId="0" fontId="15" fillId="3" borderId="23" xfId="11" applyFont="1" applyFill="1" applyBorder="1" applyAlignment="1" applyProtection="1">
      <alignment horizontal="center"/>
    </xf>
    <xf numFmtId="0" fontId="15" fillId="3" borderId="3" xfId="11" applyFont="1" applyFill="1" applyBorder="1" applyAlignment="1" applyProtection="1">
      <alignment horizontal="center"/>
    </xf>
    <xf numFmtId="0" fontId="15" fillId="3" borderId="0" xfId="11" applyFont="1" applyFill="1" applyBorder="1" applyAlignment="1" applyProtection="1">
      <alignment horizontal="center"/>
    </xf>
    <xf numFmtId="0" fontId="15" fillId="3" borderId="4" xfId="11" applyFont="1" applyFill="1" applyBorder="1" applyAlignment="1" applyProtection="1">
      <alignment horizontal="center"/>
    </xf>
    <xf numFmtId="0" fontId="15" fillId="3" borderId="24" xfId="11" applyFont="1" applyFill="1" applyBorder="1" applyAlignment="1" applyProtection="1">
      <alignment horizontal="center"/>
    </xf>
    <xf numFmtId="0" fontId="6" fillId="3" borderId="23" xfId="2" applyFont="1" applyFill="1" applyBorder="1" applyAlignment="1" applyProtection="1">
      <alignment horizontal="left" vertical="center"/>
    </xf>
    <xf numFmtId="0" fontId="6" fillId="3" borderId="0" xfId="2" applyFont="1" applyFill="1" applyBorder="1" applyAlignment="1" applyProtection="1">
      <alignment horizontal="left" vertical="center"/>
    </xf>
    <xf numFmtId="0" fontId="18" fillId="0" borderId="14" xfId="12" applyFill="1" applyBorder="1" applyAlignment="1">
      <alignment horizontal="center" vertical="center" wrapText="1"/>
    </xf>
    <xf numFmtId="0" fontId="18" fillId="0" borderId="23" xfId="12" applyFill="1" applyBorder="1" applyAlignment="1">
      <alignment horizontal="center" vertical="center" wrapText="1"/>
    </xf>
    <xf numFmtId="0" fontId="18" fillId="0" borderId="1" xfId="12" applyFill="1" applyBorder="1" applyAlignment="1">
      <alignment horizontal="center" vertical="center" wrapText="1"/>
    </xf>
    <xf numFmtId="0" fontId="18" fillId="0" borderId="3" xfId="12" applyFill="1" applyBorder="1" applyAlignment="1">
      <alignment horizontal="center" vertical="center" wrapText="1"/>
    </xf>
    <xf numFmtId="0" fontId="18" fillId="0" borderId="0" xfId="12" applyFill="1" applyBorder="1" applyAlignment="1">
      <alignment horizontal="center" vertical="center" wrapText="1"/>
    </xf>
    <xf numFmtId="0" fontId="18" fillId="0" borderId="6" xfId="12" applyFill="1" applyBorder="1" applyAlignment="1">
      <alignment horizontal="center" vertical="center" wrapText="1"/>
    </xf>
    <xf numFmtId="0" fontId="18" fillId="0" borderId="4" xfId="12" applyFill="1" applyBorder="1" applyAlignment="1">
      <alignment horizontal="center" vertical="center" wrapText="1"/>
    </xf>
    <xf numFmtId="0" fontId="18" fillId="0" borderId="24" xfId="12" applyFill="1" applyBorder="1" applyAlignment="1">
      <alignment horizontal="center" vertical="center" wrapText="1"/>
    </xf>
    <xf numFmtId="0" fontId="18" fillId="0" borderId="2" xfId="12" applyFill="1" applyBorder="1" applyAlignment="1">
      <alignment horizontal="center" vertical="center" wrapText="1"/>
    </xf>
    <xf numFmtId="0" fontId="34" fillId="2" borderId="10" xfId="0" applyFont="1" applyFill="1" applyBorder="1" applyAlignment="1">
      <alignment horizontal="center" vertical="center"/>
    </xf>
    <xf numFmtId="0" fontId="34" fillId="2" borderId="11" xfId="0" applyFont="1" applyFill="1" applyBorder="1" applyAlignment="1">
      <alignment horizontal="center" vertical="center"/>
    </xf>
    <xf numFmtId="0" fontId="20" fillId="5" borderId="14" xfId="5" applyFont="1" applyFill="1" applyBorder="1" applyAlignment="1">
      <alignment horizontal="center" vertical="center"/>
    </xf>
    <xf numFmtId="0" fontId="20" fillId="5" borderId="23" xfId="5" applyFont="1" applyFill="1" applyBorder="1" applyAlignment="1">
      <alignment horizontal="center" vertical="center"/>
    </xf>
    <xf numFmtId="0" fontId="20" fillId="5" borderId="1" xfId="5" applyFont="1" applyFill="1" applyBorder="1" applyAlignment="1">
      <alignment horizontal="center" vertical="center"/>
    </xf>
    <xf numFmtId="0" fontId="20" fillId="5" borderId="3" xfId="5" applyFont="1" applyFill="1" applyBorder="1" applyAlignment="1">
      <alignment horizontal="center" vertical="center"/>
    </xf>
    <xf numFmtId="0" fontId="20" fillId="5" borderId="0" xfId="5" applyFont="1" applyFill="1" applyBorder="1" applyAlignment="1">
      <alignment horizontal="center" vertical="center"/>
    </xf>
    <xf numFmtId="0" fontId="20" fillId="5" borderId="6" xfId="5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" fontId="24" fillId="0" borderId="12" xfId="0" applyNumberFormat="1" applyFont="1" applyBorder="1" applyAlignment="1">
      <alignment horizontal="left" vertical="center" wrapText="1" indent="3"/>
    </xf>
    <xf numFmtId="2" fontId="24" fillId="0" borderId="0" xfId="0" applyNumberFormat="1" applyFont="1" applyBorder="1" applyAlignment="1">
      <alignment horizontal="left" vertical="center" wrapText="1" indent="3"/>
    </xf>
    <xf numFmtId="2" fontId="24" fillId="0" borderId="6" xfId="0" applyNumberFormat="1" applyFont="1" applyBorder="1" applyAlignment="1">
      <alignment horizontal="left" vertical="center" wrapText="1" indent="3"/>
    </xf>
    <xf numFmtId="0" fontId="29" fillId="0" borderId="22" xfId="0" applyFont="1" applyFill="1" applyBorder="1" applyAlignment="1">
      <alignment horizontal="center" vertical="center" wrapText="1"/>
    </xf>
    <xf numFmtId="0" fontId="29" fillId="0" borderId="26" xfId="0" applyFont="1" applyFill="1" applyBorder="1" applyAlignment="1">
      <alignment horizontal="center" vertical="center" wrapText="1"/>
    </xf>
    <xf numFmtId="0" fontId="20" fillId="5" borderId="44" xfId="5" applyFont="1" applyFill="1" applyBorder="1" applyAlignment="1">
      <alignment horizontal="center" vertical="center"/>
    </xf>
    <xf numFmtId="0" fontId="20" fillId="5" borderId="45" xfId="5" applyFont="1" applyFill="1" applyBorder="1" applyAlignment="1">
      <alignment horizontal="center" vertical="center"/>
    </xf>
    <xf numFmtId="0" fontId="20" fillId="5" borderId="46" xfId="5" applyFont="1" applyFill="1" applyBorder="1" applyAlignment="1">
      <alignment horizontal="center" vertical="center"/>
    </xf>
  </cellXfs>
  <cellStyles count="28">
    <cellStyle name="Normal" xfId="0" builtinId="0"/>
    <cellStyle name="Normal 2" xfId="9"/>
    <cellStyle name="Normal 2 10" xfId="5"/>
    <cellStyle name="Normal 2 2" xfId="2"/>
    <cellStyle name="Normal 2 3" xfId="7"/>
    <cellStyle name="Normal 2 4" xfId="8"/>
    <cellStyle name="Normal 2 7" xfId="4"/>
    <cellStyle name="Normal 3" xfId="6"/>
    <cellStyle name="Normal 4" xfId="1"/>
    <cellStyle name="Normal 4 2" xfId="10"/>
    <cellStyle name="Normal 4 2 2" xfId="17"/>
    <cellStyle name="Normal 4 2 2 2" xfId="26"/>
    <cellStyle name="Normal 4 2 3" xfId="14"/>
    <cellStyle name="Normal 4 2 3 2" xfId="23"/>
    <cellStyle name="Normal 4 2 4" xfId="20"/>
    <cellStyle name="Normal 4 3" xfId="16"/>
    <cellStyle name="Normal 4 3 2" xfId="25"/>
    <cellStyle name="Normal 4 4" xfId="13"/>
    <cellStyle name="Normal 4 4 2" xfId="22"/>
    <cellStyle name="Normal 4 5" xfId="19"/>
    <cellStyle name="Normal 5" xfId="11"/>
    <cellStyle name="Normal 5 2" xfId="18"/>
    <cellStyle name="Normal 5 2 2" xfId="27"/>
    <cellStyle name="Normal 5 3" xfId="15"/>
    <cellStyle name="Normal 5 3 2" xfId="24"/>
    <cellStyle name="Normal 5 4" xfId="21"/>
    <cellStyle name="Percent 2" xfId="3"/>
    <cellStyle name="Title 2" xfId="12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42333</xdr:colOff>
      <xdr:row>2</xdr:row>
      <xdr:rowOff>79375</xdr:rowOff>
    </xdr:from>
    <xdr:to>
      <xdr:col>2</xdr:col>
      <xdr:colOff>771524</xdr:colOff>
      <xdr:row>5</xdr:row>
      <xdr:rowOff>12698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0" y="396875"/>
          <a:ext cx="2348441" cy="430740"/>
        </a:xfrm>
        <a:prstGeom prst="rect">
          <a:avLst/>
        </a:prstGeom>
      </xdr:spPr>
    </xdr:pic>
    <xdr:clientData/>
  </xdr:twoCellAnchor>
  <xdr:twoCellAnchor>
    <xdr:from>
      <xdr:col>6</xdr:col>
      <xdr:colOff>71437</xdr:colOff>
      <xdr:row>22</xdr:row>
      <xdr:rowOff>95249</xdr:rowOff>
    </xdr:from>
    <xdr:to>
      <xdr:col>6</xdr:col>
      <xdr:colOff>261937</xdr:colOff>
      <xdr:row>22</xdr:row>
      <xdr:rowOff>95249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 flipH="1">
          <a:off x="6664854" y="5016499"/>
          <a:ext cx="1905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31</xdr:row>
          <xdr:rowOff>0</xdr:rowOff>
        </xdr:from>
        <xdr:to>
          <xdr:col>5</xdr:col>
          <xdr:colOff>838200</xdr:colOff>
          <xdr:row>35</xdr:row>
          <xdr:rowOff>104775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81642</xdr:colOff>
      <xdr:row>1</xdr:row>
      <xdr:rowOff>68034</xdr:rowOff>
    </xdr:from>
    <xdr:to>
      <xdr:col>27</xdr:col>
      <xdr:colOff>110216</xdr:colOff>
      <xdr:row>35</xdr:row>
      <xdr:rowOff>163284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4142" y="231320"/>
          <a:ext cx="7376432" cy="60415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0</xdr:row>
      <xdr:rowOff>114300</xdr:rowOff>
    </xdr:from>
    <xdr:to>
      <xdr:col>16</xdr:col>
      <xdr:colOff>76199</xdr:colOff>
      <xdr:row>28</xdr:row>
      <xdr:rowOff>47625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114300"/>
          <a:ext cx="5410200" cy="486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D24"/>
  <sheetViews>
    <sheetView workbookViewId="0">
      <selection activeCell="D32" sqref="D32"/>
    </sheetView>
  </sheetViews>
  <sheetFormatPr defaultRowHeight="12.75" x14ac:dyDescent="0.2"/>
  <sheetData>
    <row r="2" spans="2:4" x14ac:dyDescent="0.2">
      <c r="B2" s="162" t="s">
        <v>152</v>
      </c>
    </row>
    <row r="4" spans="2:4" x14ac:dyDescent="0.2">
      <c r="B4" s="3">
        <v>1</v>
      </c>
      <c r="C4" s="4" t="s">
        <v>167</v>
      </c>
    </row>
    <row r="5" spans="2:4" x14ac:dyDescent="0.2">
      <c r="B5" s="3"/>
      <c r="C5" s="161" t="s">
        <v>156</v>
      </c>
    </row>
    <row r="6" spans="2:4" x14ac:dyDescent="0.2">
      <c r="B6" s="3"/>
      <c r="D6" s="2" t="s">
        <v>157</v>
      </c>
    </row>
    <row r="7" spans="2:4" x14ac:dyDescent="0.2">
      <c r="B7" s="3"/>
      <c r="D7" s="2" t="s">
        <v>158</v>
      </c>
    </row>
    <row r="8" spans="2:4" x14ac:dyDescent="0.2">
      <c r="B8" s="3"/>
      <c r="D8" s="2" t="s">
        <v>159</v>
      </c>
    </row>
    <row r="9" spans="2:4" x14ac:dyDescent="0.2">
      <c r="B9" s="3"/>
      <c r="D9" s="2" t="s">
        <v>160</v>
      </c>
    </row>
    <row r="10" spans="2:4" x14ac:dyDescent="0.2">
      <c r="B10" s="3"/>
      <c r="C10" s="2" t="s">
        <v>161</v>
      </c>
    </row>
    <row r="11" spans="2:4" x14ac:dyDescent="0.2">
      <c r="B11" s="3"/>
    </row>
    <row r="12" spans="2:4" x14ac:dyDescent="0.2">
      <c r="B12" s="3">
        <v>2</v>
      </c>
      <c r="C12" s="4" t="s">
        <v>168</v>
      </c>
    </row>
    <row r="13" spans="2:4" x14ac:dyDescent="0.2">
      <c r="B13" s="3"/>
      <c r="C13" s="161" t="s">
        <v>162</v>
      </c>
    </row>
    <row r="14" spans="2:4" x14ac:dyDescent="0.2">
      <c r="B14" s="3"/>
      <c r="D14" s="2" t="s">
        <v>164</v>
      </c>
    </row>
    <row r="15" spans="2:4" x14ac:dyDescent="0.2">
      <c r="B15" s="3"/>
      <c r="D15" t="s">
        <v>163</v>
      </c>
    </row>
    <row r="16" spans="2:4" x14ac:dyDescent="0.2">
      <c r="B16" s="3"/>
    </row>
    <row r="17" spans="2:3" x14ac:dyDescent="0.2">
      <c r="B17" s="3">
        <v>3</v>
      </c>
      <c r="C17" s="4" t="s">
        <v>154</v>
      </c>
    </row>
    <row r="18" spans="2:3" x14ac:dyDescent="0.2">
      <c r="B18" s="3"/>
      <c r="C18" s="2" t="s">
        <v>165</v>
      </c>
    </row>
    <row r="19" spans="2:3" x14ac:dyDescent="0.2">
      <c r="B19" s="3"/>
    </row>
    <row r="20" spans="2:3" x14ac:dyDescent="0.2">
      <c r="B20" s="3">
        <v>4</v>
      </c>
      <c r="C20" s="4" t="s">
        <v>169</v>
      </c>
    </row>
    <row r="21" spans="2:3" x14ac:dyDescent="0.2">
      <c r="B21" s="3"/>
      <c r="C21" s="161" t="s">
        <v>166</v>
      </c>
    </row>
    <row r="22" spans="2:3" x14ac:dyDescent="0.2">
      <c r="B22" s="3"/>
      <c r="C22" s="2"/>
    </row>
    <row r="23" spans="2:3" x14ac:dyDescent="0.2">
      <c r="B23" s="3">
        <v>5</v>
      </c>
      <c r="C23" s="4" t="s">
        <v>170</v>
      </c>
    </row>
    <row r="24" spans="2:3" x14ac:dyDescent="0.2">
      <c r="C24" s="161" t="s">
        <v>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1"/>
  <sheetViews>
    <sheetView showGridLines="0" tabSelected="1" zoomScale="90" zoomScaleNormal="90" workbookViewId="0">
      <selection activeCell="H28" sqref="H28"/>
    </sheetView>
  </sheetViews>
  <sheetFormatPr defaultColWidth="17.5703125" defaultRowHeight="12.75" x14ac:dyDescent="0.2"/>
  <cols>
    <col min="1" max="1" width="6" style="34" customWidth="1"/>
    <col min="2" max="2" width="24.28515625" style="34" customWidth="1"/>
    <col min="3" max="3" width="14.7109375" style="29" customWidth="1"/>
    <col min="4" max="5" width="18" style="29" customWidth="1"/>
    <col min="6" max="6" width="18" style="30" customWidth="1"/>
    <col min="7" max="7" width="5.140625" style="31" customWidth="1"/>
    <col min="8" max="8" width="13.7109375" style="31" customWidth="1"/>
    <col min="9" max="9" width="15" style="34" customWidth="1"/>
    <col min="10" max="10" width="5.85546875" style="34" customWidth="1"/>
    <col min="11" max="11" width="11.85546875" style="33" customWidth="1"/>
    <col min="12" max="12" width="13.28515625" style="34" customWidth="1"/>
    <col min="13" max="13" width="17.42578125" style="35" customWidth="1"/>
    <col min="14" max="14" width="13.85546875" style="34" customWidth="1"/>
    <col min="15" max="16" width="15.42578125" style="36" customWidth="1"/>
    <col min="17" max="17" width="12.42578125" style="36" customWidth="1"/>
    <col min="18" max="18" width="13.140625" style="36" customWidth="1"/>
    <col min="19" max="19" width="11.42578125" style="34" customWidth="1"/>
    <col min="20" max="16384" width="17.5703125" style="34"/>
  </cols>
  <sheetData>
    <row r="1" spans="1:20" s="26" customFormat="1" ht="12.75" customHeight="1" thickBot="1" x14ac:dyDescent="0.25">
      <c r="B1"/>
      <c r="C1"/>
      <c r="D1"/>
      <c r="E1"/>
      <c r="F1"/>
      <c r="G1"/>
      <c r="H1"/>
      <c r="I1"/>
      <c r="J1"/>
      <c r="R1" s="27"/>
      <c r="S1" s="28" t="s">
        <v>105</v>
      </c>
    </row>
    <row r="2" spans="1:20" ht="12.75" customHeight="1" x14ac:dyDescent="0.2">
      <c r="B2" s="177"/>
      <c r="C2" s="178"/>
      <c r="D2" s="183" t="s">
        <v>148</v>
      </c>
      <c r="E2" s="183"/>
      <c r="F2" s="183"/>
      <c r="G2" s="101" t="s">
        <v>113</v>
      </c>
      <c r="H2" s="101"/>
      <c r="I2" s="102" t="s">
        <v>150</v>
      </c>
      <c r="J2" s="102"/>
      <c r="K2" s="102"/>
      <c r="L2" s="103" t="s">
        <v>114</v>
      </c>
      <c r="M2" s="110" t="s">
        <v>146</v>
      </c>
      <c r="N2"/>
      <c r="Q2" s="34" t="s">
        <v>106</v>
      </c>
      <c r="R2" s="34" t="s">
        <v>77</v>
      </c>
      <c r="S2" s="34" t="s">
        <v>107</v>
      </c>
      <c r="T2" s="34">
        <v>90</v>
      </c>
    </row>
    <row r="3" spans="1:20" ht="12.75" customHeight="1" x14ac:dyDescent="0.2">
      <c r="B3" s="179"/>
      <c r="C3" s="180"/>
      <c r="D3" s="184"/>
      <c r="E3" s="184"/>
      <c r="F3" s="184"/>
      <c r="G3" s="104" t="s">
        <v>115</v>
      </c>
      <c r="H3" s="104"/>
      <c r="I3" s="105" t="s">
        <v>151</v>
      </c>
      <c r="J3" s="105"/>
      <c r="K3" s="105"/>
      <c r="L3" s="106" t="s">
        <v>116</v>
      </c>
      <c r="M3" s="111">
        <v>42828</v>
      </c>
      <c r="N3"/>
      <c r="Q3" s="34" t="s">
        <v>94</v>
      </c>
      <c r="R3" s="34" t="s">
        <v>78</v>
      </c>
      <c r="S3" s="34" t="s">
        <v>108</v>
      </c>
      <c r="T3" s="34">
        <v>88.29</v>
      </c>
    </row>
    <row r="4" spans="1:20" ht="13.5" customHeight="1" x14ac:dyDescent="0.2">
      <c r="B4" s="179"/>
      <c r="C4" s="180"/>
      <c r="D4" s="97" t="s">
        <v>117</v>
      </c>
      <c r="E4" s="98"/>
      <c r="F4" s="99"/>
      <c r="G4" s="104" t="s">
        <v>118</v>
      </c>
      <c r="H4" s="104"/>
      <c r="I4" s="105" t="s">
        <v>151</v>
      </c>
      <c r="J4" s="105"/>
      <c r="K4" s="105"/>
      <c r="L4" s="106" t="s">
        <v>119</v>
      </c>
      <c r="M4" s="112" t="s">
        <v>147</v>
      </c>
      <c r="N4"/>
      <c r="Q4" s="34" t="s">
        <v>140</v>
      </c>
      <c r="R4" s="34" t="s">
        <v>142</v>
      </c>
      <c r="T4" s="34">
        <v>86.61</v>
      </c>
    </row>
    <row r="5" spans="1:20" ht="13.5" customHeight="1" x14ac:dyDescent="0.2">
      <c r="B5" s="179"/>
      <c r="C5" s="180"/>
      <c r="D5" s="97" t="s">
        <v>120</v>
      </c>
      <c r="E5" s="96"/>
      <c r="F5" s="99"/>
      <c r="G5" s="104" t="s">
        <v>121</v>
      </c>
      <c r="H5" s="104"/>
      <c r="I5" s="105" t="s">
        <v>147</v>
      </c>
      <c r="J5" s="105"/>
      <c r="K5" s="105"/>
      <c r="L5" s="106" t="s">
        <v>116</v>
      </c>
      <c r="M5" s="111" t="s">
        <v>147</v>
      </c>
      <c r="N5"/>
      <c r="Q5" s="34"/>
      <c r="R5" s="34"/>
      <c r="T5" s="34">
        <v>84.95</v>
      </c>
    </row>
    <row r="6" spans="1:20" ht="13.5" customHeight="1" thickBot="1" x14ac:dyDescent="0.25">
      <c r="B6" s="181"/>
      <c r="C6" s="182"/>
      <c r="D6" s="100"/>
      <c r="E6" s="100"/>
      <c r="F6" s="100"/>
      <c r="G6" s="100"/>
      <c r="H6" s="107"/>
      <c r="I6" s="108"/>
      <c r="J6" s="108"/>
      <c r="K6" s="108"/>
      <c r="L6" s="109"/>
      <c r="M6" s="113"/>
      <c r="N6"/>
      <c r="Q6" s="34"/>
      <c r="R6" s="34"/>
      <c r="T6" s="34">
        <v>83.31</v>
      </c>
    </row>
    <row r="7" spans="1:20" ht="10.5" customHeight="1" x14ac:dyDescent="0.2">
      <c r="B7" s="185" t="s">
        <v>138</v>
      </c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7"/>
      <c r="N7" s="36"/>
      <c r="Q7" s="34"/>
      <c r="R7" s="34"/>
      <c r="T7" s="34">
        <v>81.69</v>
      </c>
    </row>
    <row r="8" spans="1:20" customFormat="1" ht="10.5" customHeight="1" x14ac:dyDescent="0.2">
      <c r="B8" s="188"/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90"/>
      <c r="T8">
        <v>80.099999999999994</v>
      </c>
    </row>
    <row r="9" spans="1:20" customFormat="1" ht="21" customHeight="1" thickBot="1" x14ac:dyDescent="0.25">
      <c r="B9" s="191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3"/>
      <c r="T9">
        <v>78.52</v>
      </c>
    </row>
    <row r="10" spans="1:20" customFormat="1" ht="24" customHeight="1" thickBot="1" x14ac:dyDescent="0.25">
      <c r="A10" s="14"/>
      <c r="B10" s="141" t="s">
        <v>152</v>
      </c>
      <c r="C10" s="14"/>
      <c r="D10" s="14"/>
      <c r="E10" s="160" t="s">
        <v>137</v>
      </c>
      <c r="F10" s="194" t="s">
        <v>108</v>
      </c>
      <c r="G10" s="195"/>
      <c r="H10" s="14"/>
      <c r="I10" s="14"/>
      <c r="J10" s="145" t="str">
        <f>IF(F10="YES","MAKE SURE THE PEMS.py FILE IS IN THE ANALYSIS FOLDER","")</f>
        <v/>
      </c>
      <c r="K10" s="14"/>
      <c r="L10" s="14"/>
      <c r="M10" s="91"/>
      <c r="T10">
        <v>76.95</v>
      </c>
    </row>
    <row r="11" spans="1:20" customFormat="1" ht="11.25" customHeight="1" x14ac:dyDescent="0.2">
      <c r="A11" s="82">
        <v>1</v>
      </c>
      <c r="B11" s="152" t="s">
        <v>135</v>
      </c>
      <c r="C11" s="83"/>
      <c r="D11" s="83"/>
      <c r="E11" s="83"/>
      <c r="F11" s="30"/>
      <c r="G11" s="83"/>
      <c r="H11" s="83"/>
      <c r="I11" s="83"/>
      <c r="J11" s="83"/>
      <c r="K11" s="83"/>
      <c r="L11" s="83"/>
      <c r="M11" s="91"/>
      <c r="T11">
        <v>75.41</v>
      </c>
    </row>
    <row r="12" spans="1:20" customFormat="1" ht="19.5" customHeight="1" thickBot="1" x14ac:dyDescent="0.25">
      <c r="A12" s="89">
        <v>2</v>
      </c>
      <c r="B12" s="153" t="s">
        <v>153</v>
      </c>
      <c r="C12" s="83"/>
      <c r="D12" s="83"/>
      <c r="E12" s="83"/>
      <c r="F12" s="83"/>
      <c r="G12" s="83"/>
      <c r="H12" s="83"/>
      <c r="I12" s="83"/>
      <c r="J12" s="83"/>
      <c r="K12" s="142" t="s">
        <v>136</v>
      </c>
      <c r="L12" s="83"/>
      <c r="M12" s="91"/>
      <c r="T12">
        <v>73.88</v>
      </c>
    </row>
    <row r="13" spans="1:20" customFormat="1" ht="19.5" customHeight="1" x14ac:dyDescent="0.2">
      <c r="B13" s="216" t="s">
        <v>154</v>
      </c>
      <c r="C13" s="217"/>
      <c r="D13" s="217"/>
      <c r="E13" s="217"/>
      <c r="F13" s="217"/>
      <c r="G13" s="217"/>
      <c r="H13" s="217"/>
      <c r="I13" s="218"/>
      <c r="J13" s="14"/>
      <c r="K13" s="196" t="s">
        <v>123</v>
      </c>
      <c r="L13" s="197"/>
      <c r="M13" s="198"/>
      <c r="T13">
        <v>72.36</v>
      </c>
    </row>
    <row r="14" spans="1:20" ht="25.5" customHeight="1" x14ac:dyDescent="0.2">
      <c r="B14" s="172"/>
      <c r="C14" s="173"/>
      <c r="D14" s="28" t="s">
        <v>73</v>
      </c>
      <c r="E14" s="28" t="s">
        <v>74</v>
      </c>
      <c r="F14" s="174" t="s">
        <v>75</v>
      </c>
      <c r="G14" s="45"/>
      <c r="H14" s="176" t="s">
        <v>175</v>
      </c>
      <c r="I14" s="175" t="s">
        <v>176</v>
      </c>
      <c r="J14" s="32"/>
      <c r="K14" s="199"/>
      <c r="L14" s="200"/>
      <c r="M14" s="201"/>
      <c r="T14" s="34">
        <v>70.86</v>
      </c>
    </row>
    <row r="15" spans="1:20" ht="17.25" customHeight="1" x14ac:dyDescent="0.25">
      <c r="B15" s="214" t="s">
        <v>76</v>
      </c>
      <c r="C15" s="114" t="s">
        <v>77</v>
      </c>
      <c r="D15" s="115">
        <v>-8.9999999999999998E-4</v>
      </c>
      <c r="E15" s="116">
        <v>0.26079999999999998</v>
      </c>
      <c r="F15" s="117">
        <v>596.6</v>
      </c>
      <c r="G15" s="118"/>
      <c r="H15" s="171">
        <v>521</v>
      </c>
      <c r="I15" s="167">
        <v>1570</v>
      </c>
      <c r="J15" s="32"/>
      <c r="K15" s="146" t="s">
        <v>124</v>
      </c>
      <c r="L15" s="147" t="s">
        <v>139</v>
      </c>
      <c r="M15" s="148" t="s">
        <v>141</v>
      </c>
      <c r="Q15" s="37"/>
      <c r="T15" s="34">
        <v>69.38</v>
      </c>
    </row>
    <row r="16" spans="1:20" ht="17.25" customHeight="1" x14ac:dyDescent="0.25">
      <c r="B16" s="215"/>
      <c r="C16" s="119" t="s">
        <v>78</v>
      </c>
      <c r="D16" s="120">
        <f>D15</f>
        <v>-8.9999999999999998E-4</v>
      </c>
      <c r="E16" s="121">
        <f t="shared" ref="E16:F16" si="0">E15</f>
        <v>0.26079999999999998</v>
      </c>
      <c r="F16" s="122">
        <f t="shared" si="0"/>
        <v>596.6</v>
      </c>
      <c r="G16" s="118"/>
      <c r="H16" s="164">
        <v>521</v>
      </c>
      <c r="I16" s="168">
        <v>1570</v>
      </c>
      <c r="J16" s="44"/>
      <c r="K16" s="155">
        <v>90</v>
      </c>
      <c r="L16" s="154" t="s">
        <v>94</v>
      </c>
      <c r="M16" s="156" t="s">
        <v>78</v>
      </c>
      <c r="T16" s="34">
        <v>67.900000000000006</v>
      </c>
    </row>
    <row r="17" spans="2:23" ht="17.25" customHeight="1" x14ac:dyDescent="0.25">
      <c r="B17" s="214" t="s">
        <v>79</v>
      </c>
      <c r="C17" s="114" t="s">
        <v>77</v>
      </c>
      <c r="D17" s="123">
        <f>D18</f>
        <v>-6.0000000000000002E-5</v>
      </c>
      <c r="E17" s="124">
        <f>E18</f>
        <v>-0.52969999999999995</v>
      </c>
      <c r="F17" s="125">
        <f>F18</f>
        <v>650.04</v>
      </c>
      <c r="G17" s="118"/>
      <c r="H17" s="165">
        <v>514</v>
      </c>
      <c r="I17" s="169">
        <v>4728</v>
      </c>
      <c r="J17" s="44"/>
      <c r="K17" s="155">
        <v>88.29</v>
      </c>
      <c r="L17" s="154" t="s">
        <v>94</v>
      </c>
      <c r="M17" s="156" t="s">
        <v>78</v>
      </c>
      <c r="T17" s="34">
        <v>66.44</v>
      </c>
    </row>
    <row r="18" spans="2:23" ht="17.25" customHeight="1" x14ac:dyDescent="0.25">
      <c r="B18" s="215"/>
      <c r="C18" s="119" t="s">
        <v>78</v>
      </c>
      <c r="D18" s="126">
        <v>-6.0000000000000002E-5</v>
      </c>
      <c r="E18" s="127">
        <v>-0.52969999999999995</v>
      </c>
      <c r="F18" s="128">
        <v>650.04</v>
      </c>
      <c r="G18" s="118"/>
      <c r="H18" s="166">
        <v>514</v>
      </c>
      <c r="I18" s="170">
        <v>4728</v>
      </c>
      <c r="J18" s="44"/>
      <c r="K18" s="155">
        <v>86.61</v>
      </c>
      <c r="L18" s="154" t="s">
        <v>94</v>
      </c>
      <c r="M18" s="156" t="s">
        <v>78</v>
      </c>
      <c r="T18" s="34">
        <v>64.989999999999995</v>
      </c>
    </row>
    <row r="19" spans="2:23" ht="17.25" customHeight="1" thickBot="1" x14ac:dyDescent="0.25">
      <c r="B19" s="51"/>
      <c r="C19" s="49"/>
      <c r="D19" s="49"/>
      <c r="E19" s="49"/>
      <c r="F19" s="49"/>
      <c r="G19" s="49"/>
      <c r="H19" s="49"/>
      <c r="I19" s="52"/>
      <c r="J19" s="44"/>
      <c r="K19" s="155">
        <v>84.95</v>
      </c>
      <c r="L19" s="154" t="s">
        <v>94</v>
      </c>
      <c r="M19" s="156" t="s">
        <v>78</v>
      </c>
      <c r="Q19" s="32"/>
      <c r="T19" s="34">
        <v>63.55</v>
      </c>
    </row>
    <row r="20" spans="2:23" ht="17.25" customHeight="1" thickBot="1" x14ac:dyDescent="0.25">
      <c r="B20" s="143"/>
      <c r="C20" s="38"/>
      <c r="D20" s="39"/>
      <c r="E20" s="39"/>
      <c r="F20" s="14"/>
      <c r="G20" s="14"/>
      <c r="H20" s="45"/>
      <c r="I20" s="44"/>
      <c r="J20" s="44"/>
      <c r="K20" s="155">
        <v>83.31</v>
      </c>
      <c r="L20" s="154" t="s">
        <v>94</v>
      </c>
      <c r="M20" s="156" t="s">
        <v>78</v>
      </c>
      <c r="T20" s="34">
        <v>62.11</v>
      </c>
    </row>
    <row r="21" spans="2:23" ht="18" customHeight="1" x14ac:dyDescent="0.2">
      <c r="B21" s="196" t="s">
        <v>155</v>
      </c>
      <c r="C21" s="197"/>
      <c r="D21" s="197"/>
      <c r="E21" s="197"/>
      <c r="F21" s="197"/>
      <c r="G21" s="197"/>
      <c r="H21" s="197"/>
      <c r="I21" s="198"/>
      <c r="J21" s="44"/>
      <c r="K21" s="155">
        <v>81.69</v>
      </c>
      <c r="L21" s="154" t="s">
        <v>94</v>
      </c>
      <c r="M21" s="156" t="s">
        <v>78</v>
      </c>
      <c r="T21" s="34">
        <v>60.69</v>
      </c>
    </row>
    <row r="22" spans="2:23" ht="18.75" x14ac:dyDescent="0.3">
      <c r="B22" s="54"/>
      <c r="C22" s="14"/>
      <c r="D22" s="56"/>
      <c r="E22" s="46"/>
      <c r="F22" s="46"/>
      <c r="G22" s="45"/>
      <c r="H22" s="45"/>
      <c r="I22" s="50"/>
      <c r="J22" s="44"/>
      <c r="K22" s="155">
        <v>80.099999999999994</v>
      </c>
      <c r="L22" s="154" t="s">
        <v>94</v>
      </c>
      <c r="M22" s="156" t="s">
        <v>78</v>
      </c>
      <c r="T22" s="34">
        <v>59.28</v>
      </c>
      <c r="W22" s="32"/>
    </row>
    <row r="23" spans="2:23" ht="17.25" customHeight="1" x14ac:dyDescent="0.2">
      <c r="B23" s="54"/>
      <c r="C23" s="14"/>
      <c r="D23" s="129"/>
      <c r="E23" s="130" t="s">
        <v>172</v>
      </c>
      <c r="F23" s="151" t="s">
        <v>173</v>
      </c>
      <c r="G23" s="90" t="s">
        <v>149</v>
      </c>
      <c r="H23" s="45"/>
      <c r="I23" s="50"/>
      <c r="J23" s="44"/>
      <c r="K23" s="155"/>
      <c r="L23" s="154"/>
      <c r="M23" s="156"/>
      <c r="W23" s="32"/>
    </row>
    <row r="24" spans="2:23" ht="17.25" customHeight="1" x14ac:dyDescent="0.2">
      <c r="B24" s="54"/>
      <c r="C24" s="14"/>
      <c r="D24" s="131"/>
      <c r="E24" s="132"/>
      <c r="F24" s="132"/>
      <c r="G24" s="211"/>
      <c r="H24" s="212"/>
      <c r="I24" s="213"/>
      <c r="J24" s="44"/>
      <c r="K24" s="155"/>
      <c r="L24" s="154"/>
      <c r="M24" s="156"/>
    </row>
    <row r="25" spans="2:23" ht="17.25" customHeight="1" x14ac:dyDescent="0.2">
      <c r="B25" s="54"/>
      <c r="C25" s="14"/>
      <c r="D25" s="133"/>
      <c r="E25" s="134" t="s">
        <v>109</v>
      </c>
      <c r="F25" s="135">
        <v>0</v>
      </c>
      <c r="G25" s="211"/>
      <c r="H25" s="212"/>
      <c r="I25" s="213"/>
      <c r="J25" s="44"/>
      <c r="K25" s="155"/>
      <c r="L25" s="154"/>
      <c r="M25" s="156"/>
      <c r="T25" s="35"/>
      <c r="V25" s="36"/>
    </row>
    <row r="26" spans="2:23" ht="17.25" customHeight="1" x14ac:dyDescent="0.2">
      <c r="B26" s="54"/>
      <c r="C26" s="14"/>
      <c r="D26" s="136"/>
      <c r="E26" s="137" t="s">
        <v>110</v>
      </c>
      <c r="F26" s="138">
        <v>10.8</v>
      </c>
      <c r="G26" s="211"/>
      <c r="H26" s="212"/>
      <c r="I26" s="213"/>
      <c r="J26" s="44"/>
      <c r="K26" s="155"/>
      <c r="L26" s="154"/>
      <c r="M26" s="156"/>
    </row>
    <row r="27" spans="2:23" ht="17.25" customHeight="1" x14ac:dyDescent="0.2">
      <c r="B27" s="54"/>
      <c r="C27" s="14"/>
      <c r="D27" s="133"/>
      <c r="E27" s="134" t="s">
        <v>111</v>
      </c>
      <c r="F27" s="135">
        <v>50</v>
      </c>
      <c r="G27" s="45"/>
      <c r="H27" s="45"/>
      <c r="I27" s="50"/>
      <c r="J27" s="44"/>
      <c r="K27" s="155"/>
      <c r="L27" s="154"/>
      <c r="M27" s="156"/>
    </row>
    <row r="28" spans="2:23" ht="17.25" customHeight="1" x14ac:dyDescent="0.2">
      <c r="B28" s="54"/>
      <c r="C28" s="14"/>
      <c r="D28" s="136"/>
      <c r="E28" s="139" t="s">
        <v>112</v>
      </c>
      <c r="F28" s="138">
        <v>20</v>
      </c>
      <c r="G28" s="45"/>
      <c r="H28" s="45"/>
      <c r="I28" s="50"/>
      <c r="J28" s="44"/>
      <c r="K28" s="155"/>
      <c r="L28" s="154"/>
      <c r="M28" s="156"/>
      <c r="N28" s="36"/>
    </row>
    <row r="29" spans="2:23" ht="17.25" customHeight="1" x14ac:dyDescent="0.2">
      <c r="B29" s="54"/>
      <c r="C29" s="14"/>
      <c r="D29" s="133"/>
      <c r="E29" s="134" t="s">
        <v>134</v>
      </c>
      <c r="F29" s="149">
        <v>0.01</v>
      </c>
      <c r="G29" s="45"/>
      <c r="H29" s="45"/>
      <c r="I29" s="50"/>
      <c r="J29" s="44"/>
      <c r="K29" s="155"/>
      <c r="L29" s="154"/>
      <c r="M29" s="156"/>
    </row>
    <row r="30" spans="2:23" s="41" customFormat="1" ht="17.25" customHeight="1" thickBot="1" x14ac:dyDescent="0.3">
      <c r="B30" s="54"/>
      <c r="C30" s="14"/>
      <c r="D30" s="140"/>
      <c r="E30" s="163" t="s">
        <v>122</v>
      </c>
      <c r="F30" s="150">
        <v>1</v>
      </c>
      <c r="G30" s="47"/>
      <c r="H30" s="47"/>
      <c r="I30" s="48"/>
      <c r="J30" s="47"/>
      <c r="K30" s="157"/>
      <c r="L30" s="158"/>
      <c r="M30" s="159"/>
      <c r="O30" s="42"/>
      <c r="P30" s="42"/>
      <c r="Q30" s="42"/>
      <c r="R30" s="42"/>
    </row>
    <row r="31" spans="2:23" s="41" customFormat="1" ht="16.5" customHeight="1" x14ac:dyDescent="0.2">
      <c r="B31" s="54"/>
      <c r="C31" s="14"/>
      <c r="D31" s="47"/>
      <c r="E31" s="47"/>
      <c r="F31" s="47"/>
      <c r="G31" s="47"/>
      <c r="H31" s="47"/>
      <c r="I31" s="48"/>
      <c r="J31" s="47"/>
      <c r="K31" s="202" t="s">
        <v>145</v>
      </c>
      <c r="L31" s="203"/>
      <c r="M31" s="204"/>
      <c r="O31" s="42"/>
      <c r="P31" s="42"/>
      <c r="Q31" s="42"/>
      <c r="R31" s="42"/>
    </row>
    <row r="32" spans="2:23" s="41" customFormat="1" ht="16.5" hidden="1" customHeight="1" x14ac:dyDescent="0.2">
      <c r="B32" s="54"/>
      <c r="C32" s="14"/>
      <c r="D32" s="47"/>
      <c r="E32" s="47"/>
      <c r="F32" s="47"/>
      <c r="G32" s="47"/>
      <c r="H32" s="47"/>
      <c r="I32" s="48"/>
      <c r="J32" s="47"/>
      <c r="K32" s="205"/>
      <c r="L32" s="206"/>
      <c r="M32" s="207"/>
      <c r="O32" s="42"/>
      <c r="P32" s="42"/>
      <c r="Q32" s="42"/>
      <c r="R32" s="42"/>
    </row>
    <row r="33" spans="2:18" s="41" customFormat="1" ht="16.5" customHeight="1" x14ac:dyDescent="0.2">
      <c r="B33" s="57"/>
      <c r="C33" s="47"/>
      <c r="D33" s="47"/>
      <c r="E33" s="47"/>
      <c r="F33" s="47"/>
      <c r="G33" s="47"/>
      <c r="H33" s="47"/>
      <c r="I33" s="53"/>
      <c r="J33" s="43"/>
      <c r="K33" s="205"/>
      <c r="L33" s="206"/>
      <c r="M33" s="207"/>
      <c r="R33" s="42"/>
    </row>
    <row r="34" spans="2:18" ht="2.25" customHeight="1" x14ac:dyDescent="0.2">
      <c r="B34" s="54"/>
      <c r="C34" s="14"/>
      <c r="D34" s="14"/>
      <c r="E34" s="14"/>
      <c r="F34" s="14"/>
      <c r="G34" s="14"/>
      <c r="H34" s="14"/>
      <c r="I34" s="91"/>
      <c r="J34" s="32"/>
      <c r="K34" s="205"/>
      <c r="L34" s="206"/>
      <c r="M34" s="207"/>
      <c r="O34" s="34"/>
      <c r="P34" s="34"/>
      <c r="Q34" s="34"/>
    </row>
    <row r="35" spans="2:18" ht="12.75" customHeight="1" x14ac:dyDescent="0.2">
      <c r="B35" s="54"/>
      <c r="C35" s="14"/>
      <c r="D35" s="14"/>
      <c r="E35" s="14"/>
      <c r="F35" s="14"/>
      <c r="G35" s="14"/>
      <c r="H35" s="14"/>
      <c r="I35" s="91"/>
      <c r="J35" s="44"/>
      <c r="K35" s="205"/>
      <c r="L35" s="206"/>
      <c r="M35" s="207"/>
      <c r="O35" s="34"/>
      <c r="P35" s="34"/>
      <c r="Q35" s="34"/>
    </row>
    <row r="36" spans="2:18" ht="12.75" customHeight="1" x14ac:dyDescent="0.2">
      <c r="B36" s="54"/>
      <c r="C36" s="14"/>
      <c r="D36" s="14"/>
      <c r="E36" s="14"/>
      <c r="F36" s="14"/>
      <c r="G36" s="14"/>
      <c r="H36" s="14"/>
      <c r="I36" s="91"/>
      <c r="J36" s="44"/>
      <c r="K36" s="205"/>
      <c r="L36" s="206"/>
      <c r="M36" s="207"/>
      <c r="O36" s="34"/>
      <c r="P36" s="34"/>
      <c r="Q36" s="34"/>
    </row>
    <row r="37" spans="2:18" ht="12.75" customHeight="1" x14ac:dyDescent="0.2">
      <c r="B37" s="54"/>
      <c r="C37" s="14"/>
      <c r="D37" s="14"/>
      <c r="E37" s="14"/>
      <c r="F37" s="14"/>
      <c r="G37" s="14"/>
      <c r="H37" s="14"/>
      <c r="I37" s="91"/>
      <c r="J37" s="44"/>
      <c r="K37" s="205"/>
      <c r="L37" s="206"/>
      <c r="M37" s="207"/>
      <c r="O37" s="34"/>
      <c r="P37" s="34"/>
      <c r="Q37" s="34"/>
    </row>
    <row r="38" spans="2:18" ht="0.75" customHeight="1" thickBot="1" x14ac:dyDescent="0.25">
      <c r="B38" s="92"/>
      <c r="C38" s="93"/>
      <c r="D38" s="93"/>
      <c r="E38" s="93"/>
      <c r="F38" s="93"/>
      <c r="G38" s="93"/>
      <c r="H38" s="93"/>
      <c r="I38" s="94"/>
      <c r="J38" s="144"/>
      <c r="K38" s="208"/>
      <c r="L38" s="209"/>
      <c r="M38" s="210"/>
      <c r="O38" s="34"/>
      <c r="P38" s="34"/>
      <c r="Q38" s="34"/>
    </row>
    <row r="39" spans="2:18" x14ac:dyDescent="0.2">
      <c r="B39" s="14"/>
      <c r="C39" s="14"/>
      <c r="D39" s="14"/>
      <c r="E39" s="14"/>
      <c r="F39" s="14"/>
      <c r="G39" s="14"/>
      <c r="H39" s="14"/>
      <c r="I39" s="14"/>
      <c r="J39" s="32"/>
      <c r="K39" s="14"/>
      <c r="L39" s="44"/>
      <c r="M39" s="44"/>
      <c r="O39" s="34"/>
      <c r="P39" s="34"/>
      <c r="Q39" s="34"/>
    </row>
    <row r="40" spans="2:18" x14ac:dyDescent="0.2">
      <c r="B40" s="14"/>
      <c r="C40" s="14"/>
      <c r="D40" s="14"/>
      <c r="E40" s="14"/>
      <c r="F40" s="14"/>
      <c r="G40" s="14"/>
      <c r="H40" s="14"/>
      <c r="I40" s="14"/>
      <c r="J40" s="32"/>
      <c r="K40" s="14"/>
      <c r="L40" s="44"/>
      <c r="M40" s="44"/>
      <c r="O40" s="34"/>
      <c r="P40" s="34"/>
      <c r="Q40" s="34"/>
    </row>
    <row r="41" spans="2:18" x14ac:dyDescent="0.2">
      <c r="B41" s="14"/>
      <c r="C41" s="14"/>
      <c r="D41" s="14"/>
      <c r="E41" s="14"/>
      <c r="F41" s="14"/>
      <c r="G41" s="14"/>
      <c r="H41" s="14"/>
      <c r="I41" s="14"/>
      <c r="J41" s="32"/>
      <c r="K41" s="14"/>
      <c r="L41" s="44"/>
      <c r="M41" s="44"/>
      <c r="O41" s="34"/>
      <c r="P41" s="34"/>
      <c r="Q41" s="34"/>
    </row>
    <row r="42" spans="2:18" ht="32.25" customHeight="1" x14ac:dyDescent="0.2">
      <c r="B42" s="14"/>
      <c r="C42" s="14"/>
      <c r="D42" s="14"/>
      <c r="E42" s="14"/>
      <c r="F42" s="14"/>
      <c r="G42" s="14"/>
      <c r="H42" s="14"/>
      <c r="I42" s="14"/>
      <c r="J42" s="44"/>
      <c r="K42" s="14"/>
      <c r="L42" s="44"/>
      <c r="M42" s="95"/>
      <c r="O42" s="40"/>
    </row>
    <row r="43" spans="2:18" x14ac:dyDescent="0.2">
      <c r="B43" s="14"/>
      <c r="C43" s="14"/>
      <c r="D43" s="14"/>
      <c r="E43" s="14"/>
      <c r="F43" s="14"/>
      <c r="G43" s="14"/>
      <c r="H43" s="14"/>
      <c r="I43" s="14"/>
      <c r="J43" s="44"/>
      <c r="K43" s="14"/>
      <c r="L43" s="44"/>
      <c r="M43" s="95"/>
      <c r="O43" s="40"/>
    </row>
    <row r="44" spans="2:18" x14ac:dyDescent="0.2">
      <c r="B44" s="14"/>
      <c r="C44" s="14"/>
      <c r="D44" s="14"/>
      <c r="E44" s="14"/>
      <c r="F44" s="14"/>
      <c r="G44" s="14"/>
      <c r="H44" s="14"/>
      <c r="I44" s="14"/>
      <c r="J44" s="44"/>
      <c r="K44" s="14"/>
      <c r="L44" s="44"/>
      <c r="M44" s="95"/>
      <c r="O44" s="40"/>
    </row>
    <row r="45" spans="2:18" x14ac:dyDescent="0.2">
      <c r="B45" s="14"/>
      <c r="C45" s="14"/>
      <c r="D45" s="14"/>
      <c r="E45" s="14"/>
      <c r="F45" s="14"/>
      <c r="G45" s="14"/>
      <c r="H45" s="14"/>
      <c r="I45" s="14"/>
      <c r="J45" s="44"/>
      <c r="K45" s="14"/>
      <c r="L45" s="44"/>
      <c r="M45" s="95"/>
    </row>
    <row r="46" spans="2:18" x14ac:dyDescent="0.2">
      <c r="B46" s="14"/>
      <c r="C46" s="14"/>
      <c r="D46" s="14"/>
      <c r="E46" s="14"/>
      <c r="F46" s="14"/>
      <c r="G46" s="14"/>
      <c r="H46" s="14"/>
      <c r="I46" s="14"/>
      <c r="J46" s="44"/>
      <c r="K46" s="14"/>
      <c r="L46" s="44"/>
      <c r="M46" s="95"/>
    </row>
    <row r="47" spans="2:18" x14ac:dyDescent="0.2">
      <c r="B47" s="14"/>
      <c r="C47" s="14"/>
      <c r="D47" s="14"/>
      <c r="E47" s="14"/>
      <c r="F47" s="14"/>
      <c r="G47" s="14"/>
      <c r="H47" s="14"/>
      <c r="I47" s="14"/>
      <c r="J47" s="44"/>
      <c r="K47" s="14"/>
      <c r="L47" s="44"/>
      <c r="M47" s="95"/>
    </row>
    <row r="48" spans="2:18" x14ac:dyDescent="0.2">
      <c r="B48" s="44"/>
      <c r="C48" s="44"/>
      <c r="D48" s="44"/>
      <c r="E48" s="44"/>
      <c r="F48" s="44"/>
      <c r="G48" s="44"/>
      <c r="H48" s="44"/>
      <c r="I48" s="44"/>
      <c r="J48" s="44"/>
      <c r="K48" s="55"/>
      <c r="L48" s="44"/>
      <c r="M48" s="95"/>
    </row>
    <row r="55" spans="2:8" x14ac:dyDescent="0.2">
      <c r="B55"/>
      <c r="C55"/>
      <c r="D55"/>
      <c r="E55"/>
      <c r="F55"/>
      <c r="G55" s="34"/>
      <c r="H55" s="34"/>
    </row>
    <row r="56" spans="2:8" x14ac:dyDescent="0.2">
      <c r="B56"/>
      <c r="C56"/>
      <c r="D56"/>
      <c r="E56"/>
      <c r="F56"/>
      <c r="G56" s="34"/>
      <c r="H56" s="34"/>
    </row>
    <row r="57" spans="2:8" x14ac:dyDescent="0.2">
      <c r="B57"/>
      <c r="C57"/>
      <c r="D57"/>
      <c r="E57"/>
      <c r="F57"/>
      <c r="G57" s="34"/>
      <c r="H57" s="34"/>
    </row>
    <row r="58" spans="2:8" x14ac:dyDescent="0.2">
      <c r="C58" s="34"/>
      <c r="D58" s="34"/>
      <c r="E58" s="34"/>
      <c r="F58" s="34"/>
      <c r="G58" s="34"/>
      <c r="H58" s="34"/>
    </row>
    <row r="59" spans="2:8" x14ac:dyDescent="0.2">
      <c r="C59" s="34"/>
      <c r="D59" s="34"/>
      <c r="E59" s="34"/>
      <c r="F59" s="34"/>
      <c r="G59" s="34"/>
      <c r="H59" s="34"/>
    </row>
    <row r="60" spans="2:8" x14ac:dyDescent="0.2">
      <c r="C60" s="34"/>
      <c r="D60" s="34"/>
      <c r="E60" s="34"/>
      <c r="F60" s="34"/>
      <c r="G60" s="34"/>
      <c r="H60" s="34"/>
    </row>
    <row r="61" spans="2:8" x14ac:dyDescent="0.2">
      <c r="C61" s="34"/>
      <c r="D61" s="34"/>
      <c r="E61" s="34"/>
      <c r="F61" s="34"/>
      <c r="G61" s="34"/>
      <c r="H61" s="34"/>
    </row>
  </sheetData>
  <dataConsolidate/>
  <mergeCells count="11">
    <mergeCell ref="K31:M38"/>
    <mergeCell ref="G24:I26"/>
    <mergeCell ref="B17:B18"/>
    <mergeCell ref="B15:B16"/>
    <mergeCell ref="B13:I13"/>
    <mergeCell ref="B21:I21"/>
    <mergeCell ref="B2:C6"/>
    <mergeCell ref="D2:F3"/>
    <mergeCell ref="B7:M9"/>
    <mergeCell ref="F10:G10"/>
    <mergeCell ref="K13:M14"/>
  </mergeCells>
  <phoneticPr fontId="0" type="noConversion"/>
  <conditionalFormatting sqref="K31">
    <cfRule type="cellIs" dxfId="2" priority="1" operator="equal">
      <formula>"EXTRACTING"</formula>
    </cfRule>
    <cfRule type="cellIs" dxfId="1" priority="3" operator="equal">
      <formula>"RUNNING"</formula>
    </cfRule>
  </conditionalFormatting>
  <conditionalFormatting sqref="K31">
    <cfRule type="cellIs" dxfId="0" priority="2" operator="equal">
      <formula>"READY"</formula>
    </cfRule>
  </conditionalFormatting>
  <dataValidations count="6">
    <dataValidation type="list" allowBlank="1" showInputMessage="1" showErrorMessage="1" error="Not A Valid Selection" sqref="F24">
      <formula1>$Q$2:$Q$3</formula1>
    </dataValidation>
    <dataValidation type="list" allowBlank="1" showInputMessage="1" showErrorMessage="1" sqref="K28:K30">
      <formula1>$T$2:$T$22</formula1>
    </dataValidation>
    <dataValidation type="list" allowBlank="1" showInputMessage="1" showErrorMessage="1" error="Not a valid tower angle!" sqref="K16:K27">
      <formula1>$T$2:$T$22</formula1>
    </dataValidation>
    <dataValidation type="list" allowBlank="1" showInputMessage="1" showErrorMessage="1" error="Not Valid" sqref="F10">
      <formula1>$S$2:$S$3</formula1>
    </dataValidation>
    <dataValidation type="list" allowBlank="1" showInputMessage="1" showErrorMessage="1" sqref="L16:L30">
      <formula1>$Q$2:$Q$4</formula1>
    </dataValidation>
    <dataValidation type="list" allowBlank="1" showInputMessage="1" showErrorMessage="1" sqref="M16:M30">
      <formula1>$R$2:$R$4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RunPythonScript2">
                <anchor moveWithCells="1" sizeWithCells="1">
                  <from>
                    <xdr:col>3</xdr:col>
                    <xdr:colOff>657225</xdr:colOff>
                    <xdr:row>31</xdr:row>
                    <xdr:rowOff>0</xdr:rowOff>
                  </from>
                  <to>
                    <xdr:col>5</xdr:col>
                    <xdr:colOff>838200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C1:L28"/>
  <sheetViews>
    <sheetView zoomScale="70" zoomScaleNormal="70" workbookViewId="0">
      <selection activeCell="E9" sqref="E9"/>
    </sheetView>
  </sheetViews>
  <sheetFormatPr defaultRowHeight="12.75" x14ac:dyDescent="0.2"/>
  <cols>
    <col min="1" max="2" width="9.140625" customWidth="1"/>
    <col min="258" max="258" width="5.140625" customWidth="1"/>
    <col min="514" max="514" width="5.140625" customWidth="1"/>
    <col min="770" max="770" width="5.140625" customWidth="1"/>
    <col min="1026" max="1026" width="5.140625" customWidth="1"/>
    <col min="1282" max="1282" width="5.140625" customWidth="1"/>
    <col min="1538" max="1538" width="5.140625" customWidth="1"/>
    <col min="1794" max="1794" width="5.140625" customWidth="1"/>
    <col min="2050" max="2050" width="5.140625" customWidth="1"/>
    <col min="2306" max="2306" width="5.140625" customWidth="1"/>
    <col min="2562" max="2562" width="5.140625" customWidth="1"/>
    <col min="2818" max="2818" width="5.140625" customWidth="1"/>
    <col min="3074" max="3074" width="5.140625" customWidth="1"/>
    <col min="3330" max="3330" width="5.140625" customWidth="1"/>
    <col min="3586" max="3586" width="5.140625" customWidth="1"/>
    <col min="3842" max="3842" width="5.140625" customWidth="1"/>
    <col min="4098" max="4098" width="5.140625" customWidth="1"/>
    <col min="4354" max="4354" width="5.140625" customWidth="1"/>
    <col min="4610" max="4610" width="5.140625" customWidth="1"/>
    <col min="4866" max="4866" width="5.140625" customWidth="1"/>
    <col min="5122" max="5122" width="5.140625" customWidth="1"/>
    <col min="5378" max="5378" width="5.140625" customWidth="1"/>
    <col min="5634" max="5634" width="5.140625" customWidth="1"/>
    <col min="5890" max="5890" width="5.140625" customWidth="1"/>
    <col min="6146" max="6146" width="5.140625" customWidth="1"/>
    <col min="6402" max="6402" width="5.140625" customWidth="1"/>
    <col min="6658" max="6658" width="5.140625" customWidth="1"/>
    <col min="6914" max="6914" width="5.140625" customWidth="1"/>
    <col min="7170" max="7170" width="5.140625" customWidth="1"/>
    <col min="7426" max="7426" width="5.140625" customWidth="1"/>
    <col min="7682" max="7682" width="5.140625" customWidth="1"/>
    <col min="7938" max="7938" width="5.140625" customWidth="1"/>
    <col min="8194" max="8194" width="5.140625" customWidth="1"/>
    <col min="8450" max="8450" width="5.140625" customWidth="1"/>
    <col min="8706" max="8706" width="5.140625" customWidth="1"/>
    <col min="8962" max="8962" width="5.140625" customWidth="1"/>
    <col min="9218" max="9218" width="5.140625" customWidth="1"/>
    <col min="9474" max="9474" width="5.140625" customWidth="1"/>
    <col min="9730" max="9730" width="5.140625" customWidth="1"/>
    <col min="9986" max="9986" width="5.140625" customWidth="1"/>
    <col min="10242" max="10242" width="5.140625" customWidth="1"/>
    <col min="10498" max="10498" width="5.140625" customWidth="1"/>
    <col min="10754" max="10754" width="5.140625" customWidth="1"/>
    <col min="11010" max="11010" width="5.140625" customWidth="1"/>
    <col min="11266" max="11266" width="5.140625" customWidth="1"/>
    <col min="11522" max="11522" width="5.140625" customWidth="1"/>
    <col min="11778" max="11778" width="5.140625" customWidth="1"/>
    <col min="12034" max="12034" width="5.140625" customWidth="1"/>
    <col min="12290" max="12290" width="5.140625" customWidth="1"/>
    <col min="12546" max="12546" width="5.140625" customWidth="1"/>
    <col min="12802" max="12802" width="5.140625" customWidth="1"/>
    <col min="13058" max="13058" width="5.140625" customWidth="1"/>
    <col min="13314" max="13314" width="5.140625" customWidth="1"/>
    <col min="13570" max="13570" width="5.140625" customWidth="1"/>
    <col min="13826" max="13826" width="5.140625" customWidth="1"/>
    <col min="14082" max="14082" width="5.140625" customWidth="1"/>
    <col min="14338" max="14338" width="5.140625" customWidth="1"/>
    <col min="14594" max="14594" width="5.140625" customWidth="1"/>
    <col min="14850" max="14850" width="5.140625" customWidth="1"/>
    <col min="15106" max="15106" width="5.140625" customWidth="1"/>
    <col min="15362" max="15362" width="5.140625" customWidth="1"/>
    <col min="15618" max="15618" width="5.140625" customWidth="1"/>
    <col min="15874" max="15874" width="5.140625" customWidth="1"/>
    <col min="16130" max="16130" width="5.140625" customWidth="1"/>
  </cols>
  <sheetData>
    <row r="1" spans="3:12" x14ac:dyDescent="0.2">
      <c r="C1" s="4" t="s">
        <v>80</v>
      </c>
    </row>
    <row r="3" spans="3:12" x14ac:dyDescent="0.2">
      <c r="C3" t="s">
        <v>95</v>
      </c>
      <c r="I3" t="s">
        <v>96</v>
      </c>
    </row>
    <row r="4" spans="3:12" x14ac:dyDescent="0.2">
      <c r="C4" t="s">
        <v>97</v>
      </c>
      <c r="I4" t="s">
        <v>98</v>
      </c>
    </row>
    <row r="5" spans="3:12" x14ac:dyDescent="0.2">
      <c r="C5" t="s">
        <v>99</v>
      </c>
      <c r="I5" t="s">
        <v>99</v>
      </c>
    </row>
    <row r="7" spans="3:12" ht="44.25" customHeight="1" x14ac:dyDescent="0.2">
      <c r="C7" s="22" t="s">
        <v>81</v>
      </c>
      <c r="D7" s="22" t="s">
        <v>82</v>
      </c>
      <c r="E7" s="22" t="s">
        <v>83</v>
      </c>
      <c r="I7" s="23" t="s">
        <v>100</v>
      </c>
      <c r="J7" s="22" t="s">
        <v>81</v>
      </c>
      <c r="K7" s="22" t="s">
        <v>101</v>
      </c>
      <c r="L7" s="22" t="s">
        <v>102</v>
      </c>
    </row>
    <row r="8" spans="3:12" x14ac:dyDescent="0.2">
      <c r="C8" s="24">
        <v>90</v>
      </c>
      <c r="D8" s="25">
        <v>-8.6464852205175861E-16</v>
      </c>
      <c r="E8" s="25">
        <v>-4.7050000000000001</v>
      </c>
      <c r="I8" s="18">
        <v>41</v>
      </c>
      <c r="J8" s="24">
        <v>90</v>
      </c>
      <c r="K8" s="25">
        <v>-5.0000000000000009</v>
      </c>
      <c r="L8" s="25">
        <v>-4.7050000000000001</v>
      </c>
    </row>
    <row r="9" spans="3:12" x14ac:dyDescent="0.2">
      <c r="C9" s="24">
        <v>88.29</v>
      </c>
      <c r="D9" s="25">
        <v>-0.14044941773904354</v>
      </c>
      <c r="E9" s="25">
        <v>-4.704543533837855</v>
      </c>
      <c r="I9" s="18">
        <v>40</v>
      </c>
      <c r="J9" s="24">
        <v>88.29</v>
      </c>
      <c r="K9" s="25">
        <v>-5.1426770739931156</v>
      </c>
      <c r="L9" s="25">
        <v>-4.704543533837855</v>
      </c>
    </row>
    <row r="10" spans="3:12" x14ac:dyDescent="0.2">
      <c r="C10" s="24">
        <v>86.61</v>
      </c>
      <c r="D10" s="25">
        <v>-0.27859819431070382</v>
      </c>
      <c r="E10" s="25">
        <v>-4.7032064177253767</v>
      </c>
      <c r="I10" s="18">
        <v>39</v>
      </c>
      <c r="J10" s="24">
        <v>86.61</v>
      </c>
      <c r="K10" s="25">
        <v>-5.2873627126109826</v>
      </c>
      <c r="L10" s="25">
        <v>-4.7032064177253767</v>
      </c>
    </row>
    <row r="11" spans="3:12" x14ac:dyDescent="0.2">
      <c r="C11" s="24">
        <v>84.95</v>
      </c>
      <c r="D11" s="25">
        <v>-0.41542019611429132</v>
      </c>
      <c r="E11" s="25">
        <v>-4.7010212175710748</v>
      </c>
      <c r="I11" s="18">
        <v>38</v>
      </c>
      <c r="J11" s="24">
        <v>84.95</v>
      </c>
      <c r="K11" s="25">
        <v>-5.4349045239639597</v>
      </c>
      <c r="L11" s="25">
        <v>-4.7010212175710748</v>
      </c>
    </row>
    <row r="12" spans="3:12" x14ac:dyDescent="0.2">
      <c r="C12" s="24">
        <v>83.31</v>
      </c>
      <c r="D12" s="25">
        <v>-0.55105934309806337</v>
      </c>
      <c r="E12" s="25">
        <v>-4.6980207722289737</v>
      </c>
      <c r="I12" s="18">
        <v>37</v>
      </c>
      <c r="J12" s="24">
        <v>83.31</v>
      </c>
      <c r="K12" s="25">
        <v>-5.5853377584379835</v>
      </c>
      <c r="L12" s="25">
        <v>-4.6980207722289737</v>
      </c>
    </row>
    <row r="13" spans="3:12" x14ac:dyDescent="0.2">
      <c r="C13" s="24">
        <v>81.69</v>
      </c>
      <c r="D13" s="25">
        <v>-0.68565203435836874</v>
      </c>
      <c r="E13" s="25">
        <v>-4.6942380935649197</v>
      </c>
      <c r="I13" s="18">
        <v>36</v>
      </c>
      <c r="J13" s="24">
        <v>81.69</v>
      </c>
      <c r="K13" s="25">
        <v>-5.7387061766912293</v>
      </c>
      <c r="L13" s="25">
        <v>-4.6942380935649197</v>
      </c>
    </row>
    <row r="14" spans="3:12" x14ac:dyDescent="0.2">
      <c r="C14" s="24">
        <v>80.099999999999994</v>
      </c>
      <c r="D14" s="25">
        <v>-0.81849014291765865</v>
      </c>
      <c r="E14" s="25">
        <v>-4.6897370593086434</v>
      </c>
      <c r="I14" s="18">
        <v>35</v>
      </c>
      <c r="J14" s="24">
        <v>80.099999999999994</v>
      </c>
      <c r="K14" s="25">
        <v>-5.8940689312301684</v>
      </c>
      <c r="L14" s="25">
        <v>-4.6897370593086434</v>
      </c>
    </row>
    <row r="15" spans="3:12" x14ac:dyDescent="0.2">
      <c r="C15" s="24">
        <v>78.52</v>
      </c>
      <c r="D15" s="25">
        <v>-0.95136833343992144</v>
      </c>
      <c r="E15" s="25">
        <v>-4.6844940933929733</v>
      </c>
      <c r="I15" s="18">
        <v>34</v>
      </c>
      <c r="J15" s="24">
        <v>78.52</v>
      </c>
      <c r="K15" s="25">
        <v>-6.0534391506896368</v>
      </c>
      <c r="L15" s="25">
        <v>-4.6844940933929733</v>
      </c>
    </row>
    <row r="16" spans="3:12" x14ac:dyDescent="0.2">
      <c r="C16" s="24">
        <v>76.95</v>
      </c>
      <c r="D16" s="25">
        <v>-1.0844244985129687</v>
      </c>
      <c r="E16" s="25">
        <v>-4.6785277216440955</v>
      </c>
      <c r="I16" s="18">
        <v>33</v>
      </c>
      <c r="J16" s="24">
        <v>76.95</v>
      </c>
      <c r="K16" s="25">
        <v>-6.2169810504348186</v>
      </c>
      <c r="L16" s="25">
        <v>-4.6785277216440955</v>
      </c>
    </row>
    <row r="17" spans="3:12" x14ac:dyDescent="0.2">
      <c r="C17" s="24">
        <v>75.41</v>
      </c>
      <c r="D17" s="25">
        <v>-1.2160803405850609</v>
      </c>
      <c r="E17" s="25">
        <v>-4.6719469788987702</v>
      </c>
      <c r="I17" s="18">
        <v>32</v>
      </c>
      <c r="J17" s="24">
        <v>75.41</v>
      </c>
      <c r="K17" s="25">
        <v>-6.3826871341151143</v>
      </c>
      <c r="L17" s="25">
        <v>-4.6719469788987702</v>
      </c>
    </row>
    <row r="18" spans="3:12" x14ac:dyDescent="0.2">
      <c r="C18" s="24">
        <v>73.88</v>
      </c>
      <c r="D18" s="25">
        <v>-1.3481604027515643</v>
      </c>
      <c r="E18" s="25">
        <v>-4.6646993519140203</v>
      </c>
      <c r="I18" s="18">
        <v>31</v>
      </c>
      <c r="J18" s="24">
        <v>73.88</v>
      </c>
      <c r="K18" s="25">
        <v>-6.552794680247759</v>
      </c>
      <c r="L18" s="25">
        <v>-4.6646993519140203</v>
      </c>
    </row>
    <row r="19" spans="3:12" x14ac:dyDescent="0.2">
      <c r="C19" s="24">
        <v>72.36</v>
      </c>
      <c r="D19" s="25">
        <v>-1.4808041908923386</v>
      </c>
      <c r="E19" s="25">
        <v>-4.6568038250551496</v>
      </c>
      <c r="I19" s="18">
        <v>30</v>
      </c>
      <c r="J19" s="24">
        <v>72.36</v>
      </c>
      <c r="K19" s="25">
        <v>-6.7275076420286481</v>
      </c>
      <c r="L19" s="25">
        <v>-4.6568038250551496</v>
      </c>
    </row>
    <row r="20" spans="3:12" x14ac:dyDescent="0.2">
      <c r="C20" s="24">
        <v>70.86</v>
      </c>
      <c r="D20" s="25">
        <v>-1.6132665961554684</v>
      </c>
      <c r="E20" s="25">
        <v>-4.6483382467271674</v>
      </c>
      <c r="I20" s="18">
        <v>29</v>
      </c>
      <c r="J20" s="24">
        <v>70.86</v>
      </c>
      <c r="K20" s="25">
        <v>-6.9058387085570017</v>
      </c>
      <c r="L20" s="25">
        <v>-4.6483382467271674</v>
      </c>
    </row>
    <row r="21" spans="3:12" x14ac:dyDescent="0.2">
      <c r="C21" s="24">
        <v>69.38</v>
      </c>
      <c r="D21" s="25">
        <v>-1.745659886394695</v>
      </c>
      <c r="E21" s="25">
        <v>-4.6393350793794852</v>
      </c>
      <c r="I21" s="18">
        <v>28</v>
      </c>
      <c r="J21" s="24">
        <v>69.38</v>
      </c>
      <c r="K21" s="25">
        <v>-7.0879017267691147</v>
      </c>
      <c r="L21" s="25">
        <v>-4.6393350793794852</v>
      </c>
    </row>
    <row r="22" spans="3:12" x14ac:dyDescent="0.2">
      <c r="C22" s="24">
        <v>67.900000000000006</v>
      </c>
      <c r="D22" s="25">
        <v>-1.8799229139059022</v>
      </c>
      <c r="E22" s="25">
        <v>-4.6296918466436328</v>
      </c>
      <c r="I22" s="18">
        <v>27</v>
      </c>
      <c r="J22" s="24">
        <v>67.900000000000006</v>
      </c>
      <c r="K22" s="25">
        <v>-7.2764102251454279</v>
      </c>
      <c r="L22" s="25">
        <v>-4.6296918466436328</v>
      </c>
    </row>
    <row r="23" spans="3:12" x14ac:dyDescent="0.2">
      <c r="C23" s="24">
        <v>66.44</v>
      </c>
      <c r="D23" s="25">
        <v>-2.0143958239467792</v>
      </c>
      <c r="E23" s="25">
        <v>-4.6195580526429794</v>
      </c>
      <c r="I23" s="18">
        <v>26</v>
      </c>
      <c r="J23" s="24">
        <v>66.44</v>
      </c>
      <c r="K23" s="25">
        <v>-7.469088043957413</v>
      </c>
      <c r="L23" s="25">
        <v>-4.6195580526429794</v>
      </c>
    </row>
    <row r="24" spans="3:12" x14ac:dyDescent="0.2">
      <c r="C24" s="24">
        <v>64.989999999999995</v>
      </c>
      <c r="D24" s="25">
        <v>-2.1501400330112919</v>
      </c>
      <c r="E24" s="25">
        <v>-4.6088898627424957</v>
      </c>
      <c r="I24" s="18">
        <v>25</v>
      </c>
      <c r="J24" s="24">
        <v>64.989999999999995</v>
      </c>
      <c r="K24" s="25">
        <v>-7.6674787462024581</v>
      </c>
      <c r="L24" s="25">
        <v>-4.6088898627424957</v>
      </c>
    </row>
    <row r="25" spans="3:12" x14ac:dyDescent="0.2">
      <c r="C25" s="24">
        <v>63.55</v>
      </c>
      <c r="D25" s="25">
        <v>-2.2873244341481929</v>
      </c>
      <c r="E25" s="25">
        <v>-4.5977064868804423</v>
      </c>
      <c r="I25" s="18">
        <v>24</v>
      </c>
      <c r="J25" s="24">
        <v>63.55</v>
      </c>
      <c r="K25" s="25">
        <v>-7.8718986670506981</v>
      </c>
      <c r="L25" s="25">
        <v>-4.5977064868804423</v>
      </c>
    </row>
    <row r="26" spans="3:12" x14ac:dyDescent="0.2">
      <c r="C26" s="24">
        <v>62.11</v>
      </c>
      <c r="D26" s="25">
        <v>-2.4271073890463972</v>
      </c>
      <c r="E26" s="25">
        <v>-4.5859434679317053</v>
      </c>
      <c r="I26" s="18">
        <v>23</v>
      </c>
      <c r="J26" s="24">
        <v>62.11</v>
      </c>
      <c r="K26" s="25">
        <v>-8.0841932684782805</v>
      </c>
      <c r="L26" s="25">
        <v>-4.5859434679317053</v>
      </c>
    </row>
    <row r="27" spans="3:12" x14ac:dyDescent="0.2">
      <c r="C27" s="24">
        <v>60.69</v>
      </c>
      <c r="D27" s="25">
        <v>-2.5677373303152145</v>
      </c>
      <c r="E27" s="25">
        <v>-4.5737834419443182</v>
      </c>
      <c r="I27" s="18">
        <v>22</v>
      </c>
      <c r="J27" s="24">
        <v>60.69</v>
      </c>
      <c r="K27" s="25">
        <v>-8.3017885103764399</v>
      </c>
      <c r="L27" s="25">
        <v>-4.5737834419443182</v>
      </c>
    </row>
    <row r="28" spans="3:12" x14ac:dyDescent="0.2">
      <c r="C28" s="24">
        <v>59.28</v>
      </c>
      <c r="D28" s="25">
        <v>-2.7103760009951774</v>
      </c>
      <c r="E28" s="25">
        <v>-4.5611658562704278</v>
      </c>
      <c r="I28" s="18">
        <v>21</v>
      </c>
      <c r="J28" s="24">
        <v>59.28</v>
      </c>
      <c r="K28" s="25">
        <v>-8.5265341777222901</v>
      </c>
      <c r="L28" s="25">
        <v>-4.5611658562704278</v>
      </c>
    </row>
  </sheetData>
  <pageMargins left="0.75" right="0.75" top="1" bottom="1" header="0.5" footer="0.5"/>
  <pageSetup scale="73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8"/>
  <sheetViews>
    <sheetView zoomScale="70" zoomScaleNormal="70" workbookViewId="0">
      <selection activeCell="E9" sqref="E9"/>
    </sheetView>
  </sheetViews>
  <sheetFormatPr defaultRowHeight="12.75" x14ac:dyDescent="0.2"/>
  <cols>
    <col min="1" max="1" width="9.140625" customWidth="1"/>
    <col min="257" max="257" width="7.140625" customWidth="1"/>
    <col min="513" max="513" width="7.140625" customWidth="1"/>
    <col min="769" max="769" width="7.140625" customWidth="1"/>
    <col min="1025" max="1025" width="7.140625" customWidth="1"/>
    <col min="1281" max="1281" width="7.140625" customWidth="1"/>
    <col min="1537" max="1537" width="7.140625" customWidth="1"/>
    <col min="1793" max="1793" width="7.140625" customWidth="1"/>
    <col min="2049" max="2049" width="7.140625" customWidth="1"/>
    <col min="2305" max="2305" width="7.140625" customWidth="1"/>
    <col min="2561" max="2561" width="7.140625" customWidth="1"/>
    <col min="2817" max="2817" width="7.140625" customWidth="1"/>
    <col min="3073" max="3073" width="7.140625" customWidth="1"/>
    <col min="3329" max="3329" width="7.140625" customWidth="1"/>
    <col min="3585" max="3585" width="7.140625" customWidth="1"/>
    <col min="3841" max="3841" width="7.140625" customWidth="1"/>
    <col min="4097" max="4097" width="7.140625" customWidth="1"/>
    <col min="4353" max="4353" width="7.140625" customWidth="1"/>
    <col min="4609" max="4609" width="7.140625" customWidth="1"/>
    <col min="4865" max="4865" width="7.140625" customWidth="1"/>
    <col min="5121" max="5121" width="7.140625" customWidth="1"/>
    <col min="5377" max="5377" width="7.140625" customWidth="1"/>
    <col min="5633" max="5633" width="7.140625" customWidth="1"/>
    <col min="5889" max="5889" width="7.140625" customWidth="1"/>
    <col min="6145" max="6145" width="7.140625" customWidth="1"/>
    <col min="6401" max="6401" width="7.140625" customWidth="1"/>
    <col min="6657" max="6657" width="7.140625" customWidth="1"/>
    <col min="6913" max="6913" width="7.140625" customWidth="1"/>
    <col min="7169" max="7169" width="7.140625" customWidth="1"/>
    <col min="7425" max="7425" width="7.140625" customWidth="1"/>
    <col min="7681" max="7681" width="7.140625" customWidth="1"/>
    <col min="7937" max="7937" width="7.140625" customWidth="1"/>
    <col min="8193" max="8193" width="7.140625" customWidth="1"/>
    <col min="8449" max="8449" width="7.140625" customWidth="1"/>
    <col min="8705" max="8705" width="7.140625" customWidth="1"/>
    <col min="8961" max="8961" width="7.140625" customWidth="1"/>
    <col min="9217" max="9217" width="7.140625" customWidth="1"/>
    <col min="9473" max="9473" width="7.140625" customWidth="1"/>
    <col min="9729" max="9729" width="7.140625" customWidth="1"/>
    <col min="9985" max="9985" width="7.140625" customWidth="1"/>
    <col min="10241" max="10241" width="7.140625" customWidth="1"/>
    <col min="10497" max="10497" width="7.140625" customWidth="1"/>
    <col min="10753" max="10753" width="7.140625" customWidth="1"/>
    <col min="11009" max="11009" width="7.140625" customWidth="1"/>
    <col min="11265" max="11265" width="7.140625" customWidth="1"/>
    <col min="11521" max="11521" width="7.140625" customWidth="1"/>
    <col min="11777" max="11777" width="7.140625" customWidth="1"/>
    <col min="12033" max="12033" width="7.140625" customWidth="1"/>
    <col min="12289" max="12289" width="7.140625" customWidth="1"/>
    <col min="12545" max="12545" width="7.140625" customWidth="1"/>
    <col min="12801" max="12801" width="7.140625" customWidth="1"/>
    <col min="13057" max="13057" width="7.140625" customWidth="1"/>
    <col min="13313" max="13313" width="7.140625" customWidth="1"/>
    <col min="13569" max="13569" width="7.140625" customWidth="1"/>
    <col min="13825" max="13825" width="7.140625" customWidth="1"/>
    <col min="14081" max="14081" width="7.140625" customWidth="1"/>
    <col min="14337" max="14337" width="7.140625" customWidth="1"/>
    <col min="14593" max="14593" width="7.140625" customWidth="1"/>
    <col min="14849" max="14849" width="7.140625" customWidth="1"/>
    <col min="15105" max="15105" width="7.140625" customWidth="1"/>
    <col min="15361" max="15361" width="7.140625" customWidth="1"/>
    <col min="15617" max="15617" width="7.140625" customWidth="1"/>
    <col min="15873" max="15873" width="7.140625" customWidth="1"/>
    <col min="16129" max="16129" width="7.140625" customWidth="1"/>
  </cols>
  <sheetData>
    <row r="1" spans="2:5" x14ac:dyDescent="0.2">
      <c r="B1" s="4" t="s">
        <v>84</v>
      </c>
    </row>
    <row r="3" spans="2:5" x14ac:dyDescent="0.2">
      <c r="B3" t="s">
        <v>95</v>
      </c>
    </row>
    <row r="4" spans="2:5" x14ac:dyDescent="0.2">
      <c r="B4" t="s">
        <v>103</v>
      </c>
    </row>
    <row r="5" spans="2:5" x14ac:dyDescent="0.2">
      <c r="B5" t="s">
        <v>104</v>
      </c>
    </row>
    <row r="7" spans="2:5" ht="44.25" customHeight="1" x14ac:dyDescent="0.2">
      <c r="B7" s="23" t="s">
        <v>100</v>
      </c>
      <c r="C7" s="22" t="s">
        <v>81</v>
      </c>
      <c r="D7" s="22" t="s">
        <v>82</v>
      </c>
      <c r="E7" s="22" t="s">
        <v>83</v>
      </c>
    </row>
    <row r="8" spans="2:5" x14ac:dyDescent="0.2">
      <c r="B8" s="18">
        <v>41</v>
      </c>
      <c r="C8" s="24">
        <v>90</v>
      </c>
      <c r="D8" s="25">
        <v>8.3310094933786161E-16</v>
      </c>
      <c r="E8" s="25">
        <v>13.6</v>
      </c>
    </row>
    <row r="9" spans="2:5" x14ac:dyDescent="0.2">
      <c r="B9" s="18">
        <v>40</v>
      </c>
      <c r="C9" s="24">
        <v>88.29</v>
      </c>
      <c r="D9" s="25">
        <v>0.40583351644605981</v>
      </c>
      <c r="E9" s="25">
        <v>13.593943473360813</v>
      </c>
    </row>
    <row r="10" spans="2:5" x14ac:dyDescent="0.2">
      <c r="B10" s="18">
        <v>39</v>
      </c>
      <c r="C10" s="24">
        <v>86.61</v>
      </c>
      <c r="D10" s="25">
        <v>0.80419719860622751</v>
      </c>
      <c r="E10" s="25">
        <v>13.576202225429389</v>
      </c>
    </row>
    <row r="11" spans="2:5" x14ac:dyDescent="0.2">
      <c r="B11" s="18">
        <v>38</v>
      </c>
      <c r="C11" s="24">
        <v>84.95</v>
      </c>
      <c r="D11" s="25">
        <v>1.1971407252132493</v>
      </c>
      <c r="E11" s="25">
        <v>13.547208350211342</v>
      </c>
    </row>
    <row r="12" spans="2:5" x14ac:dyDescent="0.2">
      <c r="B12" s="18">
        <v>37</v>
      </c>
      <c r="C12" s="24">
        <v>83.31</v>
      </c>
      <c r="D12" s="25">
        <v>1.5843645630856109</v>
      </c>
      <c r="E12" s="25">
        <v>13.507397563233212</v>
      </c>
    </row>
    <row r="13" spans="2:5" x14ac:dyDescent="0.2">
      <c r="B13" s="18">
        <v>36</v>
      </c>
      <c r="C13" s="24">
        <v>81.69</v>
      </c>
      <c r="D13" s="25">
        <v>1.9655930893945521</v>
      </c>
      <c r="E13" s="25">
        <v>13.457207875593078</v>
      </c>
    </row>
    <row r="14" spans="2:5" x14ac:dyDescent="0.2">
      <c r="B14" s="18">
        <v>35</v>
      </c>
      <c r="C14" s="24">
        <v>80.099999999999994</v>
      </c>
      <c r="D14" s="25">
        <v>2.3382357637999722</v>
      </c>
      <c r="E14" s="25">
        <v>13.397486835704925</v>
      </c>
    </row>
    <row r="15" spans="2:5" x14ac:dyDescent="0.2">
      <c r="B15" s="18">
        <v>34</v>
      </c>
      <c r="C15" s="24">
        <v>78.52</v>
      </c>
      <c r="D15" s="25">
        <v>2.7067517507754895</v>
      </c>
      <c r="E15" s="25">
        <v>13.327921629409207</v>
      </c>
    </row>
    <row r="16" spans="2:5" x14ac:dyDescent="0.2">
      <c r="B16" s="18">
        <v>33</v>
      </c>
      <c r="C16" s="24">
        <v>76.95</v>
      </c>
      <c r="D16" s="25">
        <v>3.0708972294198116</v>
      </c>
      <c r="E16" s="25">
        <v>13.248758062789951</v>
      </c>
    </row>
    <row r="17" spans="2:5" x14ac:dyDescent="0.2">
      <c r="B17" s="18">
        <v>32</v>
      </c>
      <c r="C17" s="24">
        <v>75.41</v>
      </c>
      <c r="D17" s="25">
        <v>3.4258462191775738</v>
      </c>
      <c r="E17" s="25">
        <v>13.161442841973928</v>
      </c>
    </row>
    <row r="18" spans="2:5" x14ac:dyDescent="0.2">
      <c r="B18" s="18">
        <v>31</v>
      </c>
      <c r="C18" s="24">
        <v>73.88</v>
      </c>
      <c r="D18" s="25">
        <v>3.7760401576659421</v>
      </c>
      <c r="E18" s="25">
        <v>13.065279205883591</v>
      </c>
    </row>
    <row r="19" spans="2:5" x14ac:dyDescent="0.2">
      <c r="B19" s="18">
        <v>30</v>
      </c>
      <c r="C19" s="24">
        <v>72.36</v>
      </c>
      <c r="D19" s="25">
        <v>4.1212796670057266</v>
      </c>
      <c r="E19" s="25">
        <v>12.960519044634177</v>
      </c>
    </row>
    <row r="20" spans="2:5" x14ac:dyDescent="0.2">
      <c r="B20" s="18">
        <v>29</v>
      </c>
      <c r="C20" s="24">
        <v>70.86</v>
      </c>
      <c r="D20" s="25">
        <v>4.4591342444696958</v>
      </c>
      <c r="E20" s="25">
        <v>12.848195273648267</v>
      </c>
    </row>
    <row r="21" spans="2:5" x14ac:dyDescent="0.2">
      <c r="B21" s="18">
        <v>28</v>
      </c>
      <c r="C21" s="24">
        <v>69.38</v>
      </c>
      <c r="D21" s="25">
        <v>4.7894898779749937</v>
      </c>
      <c r="E21" s="25">
        <v>12.728738614205851</v>
      </c>
    </row>
    <row r="22" spans="2:5" x14ac:dyDescent="0.2">
      <c r="B22" s="18">
        <v>27</v>
      </c>
      <c r="C22" s="24">
        <v>67.900000000000006</v>
      </c>
      <c r="D22" s="25">
        <v>5.1166499786953725</v>
      </c>
      <c r="E22" s="25">
        <v>12.600789379856987</v>
      </c>
    </row>
    <row r="23" spans="2:5" x14ac:dyDescent="0.2">
      <c r="B23" s="18">
        <v>26</v>
      </c>
      <c r="C23" s="24">
        <v>66.44</v>
      </c>
      <c r="D23" s="25">
        <v>5.4360450271840479</v>
      </c>
      <c r="E23" s="25">
        <v>12.466331235067821</v>
      </c>
    </row>
    <row r="24" spans="2:5" x14ac:dyDescent="0.2">
      <c r="B24" s="18">
        <v>25</v>
      </c>
      <c r="C24" s="24">
        <v>64.989999999999995</v>
      </c>
      <c r="D24" s="25">
        <v>5.7497595275906663</v>
      </c>
      <c r="E24" s="25">
        <v>12.324782569071163</v>
      </c>
    </row>
    <row r="25" spans="2:5" x14ac:dyDescent="0.2">
      <c r="B25" s="18">
        <v>24</v>
      </c>
      <c r="C25" s="24">
        <v>63.55</v>
      </c>
      <c r="D25" s="25">
        <v>6.0576666541925421</v>
      </c>
      <c r="E25" s="25">
        <v>12.176398264950262</v>
      </c>
    </row>
    <row r="26" spans="2:5" x14ac:dyDescent="0.2">
      <c r="B26" s="18">
        <v>23</v>
      </c>
      <c r="C26" s="24">
        <v>62.11</v>
      </c>
      <c r="D26" s="25">
        <v>6.3617476286992405</v>
      </c>
      <c r="E26" s="25">
        <v>12.0203230867036</v>
      </c>
    </row>
    <row r="27" spans="2:5" x14ac:dyDescent="0.2">
      <c r="B27" s="18">
        <v>22</v>
      </c>
      <c r="C27" s="24">
        <v>60.69</v>
      </c>
      <c r="D27" s="25">
        <v>6.6576712276980743</v>
      </c>
      <c r="E27" s="25">
        <v>11.858980302870952</v>
      </c>
    </row>
    <row r="28" spans="2:5" x14ac:dyDescent="0.2">
      <c r="B28" s="18">
        <v>21</v>
      </c>
      <c r="C28" s="24">
        <v>59.28</v>
      </c>
      <c r="D28" s="25">
        <v>6.9474652333756941</v>
      </c>
      <c r="E28" s="25">
        <v>11.691566483197878</v>
      </c>
    </row>
  </sheetData>
  <printOptions horizontalCentered="1"/>
  <pageMargins left="0.75" right="0.75" top="1" bottom="1" header="0.5" footer="0.5"/>
  <pageSetup scale="5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"/>
  <sheetViews>
    <sheetView workbookViewId="0">
      <selection activeCell="B2" sqref="B2"/>
    </sheetView>
  </sheetViews>
  <sheetFormatPr defaultRowHeight="12.75" x14ac:dyDescent="0.2"/>
  <cols>
    <col min="1" max="1" width="29" customWidth="1"/>
    <col min="2" max="2" width="11.7109375" style="1" customWidth="1"/>
    <col min="3" max="3" width="24.140625" customWidth="1"/>
    <col min="4" max="4" width="24.140625" style="1" customWidth="1"/>
    <col min="8" max="8" width="23" customWidth="1"/>
  </cols>
  <sheetData>
    <row r="1" spans="1:9" x14ac:dyDescent="0.2">
      <c r="A1" t="s">
        <v>3</v>
      </c>
      <c r="B1" s="1" t="s">
        <v>16</v>
      </c>
      <c r="C1" t="s">
        <v>18</v>
      </c>
      <c r="D1" s="1">
        <v>0</v>
      </c>
      <c r="E1" t="s">
        <v>21</v>
      </c>
      <c r="F1" s="1" t="s">
        <v>72</v>
      </c>
      <c r="H1" s="1"/>
      <c r="I1" s="2"/>
    </row>
    <row r="2" spans="1:9" x14ac:dyDescent="0.2">
      <c r="A2" t="s">
        <v>4</v>
      </c>
      <c r="B2" s="1" t="s">
        <v>13</v>
      </c>
      <c r="C2" t="s">
        <v>62</v>
      </c>
      <c r="E2" t="s">
        <v>61</v>
      </c>
      <c r="F2" s="1" t="s">
        <v>67</v>
      </c>
      <c r="H2" s="1" t="s">
        <v>68</v>
      </c>
      <c r="I2" s="2" t="b">
        <v>0</v>
      </c>
    </row>
    <row r="3" spans="1:9" x14ac:dyDescent="0.2">
      <c r="A3" t="s">
        <v>7</v>
      </c>
      <c r="B3" s="1">
        <v>0</v>
      </c>
      <c r="C3" t="s">
        <v>22</v>
      </c>
      <c r="D3" s="1" t="b">
        <v>1</v>
      </c>
      <c r="H3" t="s">
        <v>69</v>
      </c>
      <c r="I3" s="2" t="b">
        <v>0</v>
      </c>
    </row>
    <row r="4" spans="1:9" x14ac:dyDescent="0.2">
      <c r="A4" t="s">
        <v>8</v>
      </c>
      <c r="B4" s="1">
        <v>0</v>
      </c>
      <c r="C4" t="s">
        <v>23</v>
      </c>
      <c r="D4" s="1">
        <v>-1</v>
      </c>
      <c r="H4" t="s">
        <v>70</v>
      </c>
      <c r="I4" s="2">
        <v>4</v>
      </c>
    </row>
    <row r="5" spans="1:9" x14ac:dyDescent="0.2">
      <c r="A5" t="s">
        <v>9</v>
      </c>
      <c r="B5" s="1">
        <v>0</v>
      </c>
      <c r="C5" t="s">
        <v>1</v>
      </c>
      <c r="D5" s="1">
        <v>0</v>
      </c>
    </row>
    <row r="6" spans="1:9" x14ac:dyDescent="0.2">
      <c r="A6" t="s">
        <v>10</v>
      </c>
      <c r="B6" s="1">
        <v>0</v>
      </c>
      <c r="C6" t="s">
        <v>55</v>
      </c>
      <c r="D6" s="1">
        <v>0</v>
      </c>
    </row>
    <row r="7" spans="1:9" x14ac:dyDescent="0.2">
      <c r="A7" t="s">
        <v>11</v>
      </c>
      <c r="B7" s="1">
        <v>0</v>
      </c>
      <c r="C7" t="s">
        <v>56</v>
      </c>
      <c r="D7" s="1">
        <v>0</v>
      </c>
    </row>
    <row r="8" spans="1:9" x14ac:dyDescent="0.2">
      <c r="A8" t="s">
        <v>71</v>
      </c>
      <c r="B8" s="1" t="b">
        <v>0</v>
      </c>
      <c r="C8" t="s">
        <v>59</v>
      </c>
      <c r="D8" s="1">
        <v>0</v>
      </c>
    </row>
    <row r="9" spans="1:9" x14ac:dyDescent="0.2">
      <c r="C9" t="s">
        <v>24</v>
      </c>
      <c r="D9" s="1" t="s">
        <v>17</v>
      </c>
    </row>
    <row r="10" spans="1:9" x14ac:dyDescent="0.2">
      <c r="C10" t="s">
        <v>37</v>
      </c>
      <c r="D10" s="1">
        <v>0</v>
      </c>
    </row>
    <row r="11" spans="1:9" x14ac:dyDescent="0.2">
      <c r="C11" t="s">
        <v>25</v>
      </c>
      <c r="D11" s="1">
        <v>1</v>
      </c>
    </row>
    <row r="12" spans="1:9" x14ac:dyDescent="0.2">
      <c r="C12" t="s">
        <v>26</v>
      </c>
      <c r="D12" s="1">
        <v>1</v>
      </c>
    </row>
    <row r="13" spans="1:9" x14ac:dyDescent="0.2">
      <c r="C13" t="s">
        <v>2</v>
      </c>
    </row>
    <row r="14" spans="1:9" x14ac:dyDescent="0.2">
      <c r="C14" t="s">
        <v>27</v>
      </c>
      <c r="D14" s="1" t="s">
        <v>15</v>
      </c>
    </row>
    <row r="15" spans="1:9" x14ac:dyDescent="0.2">
      <c r="C15" t="s">
        <v>28</v>
      </c>
      <c r="D15" s="1">
        <v>4</v>
      </c>
    </row>
    <row r="16" spans="1:9" x14ac:dyDescent="0.2">
      <c r="C16" t="s">
        <v>29</v>
      </c>
      <c r="D16" s="1">
        <v>1</v>
      </c>
    </row>
    <row r="17" spans="3:4" x14ac:dyDescent="0.2">
      <c r="C17" t="s">
        <v>30</v>
      </c>
      <c r="D17" s="1">
        <v>1</v>
      </c>
    </row>
    <row r="18" spans="3:4" x14ac:dyDescent="0.2">
      <c r="C18" t="s">
        <v>31</v>
      </c>
      <c r="D18" s="1" t="s">
        <v>20</v>
      </c>
    </row>
    <row r="19" spans="3:4" x14ac:dyDescent="0.2">
      <c r="C19" t="s">
        <v>60</v>
      </c>
      <c r="D19" s="1">
        <v>0</v>
      </c>
    </row>
    <row r="20" spans="3:4" x14ac:dyDescent="0.2">
      <c r="C20" t="s">
        <v>0</v>
      </c>
      <c r="D20" s="1">
        <v>2</v>
      </c>
    </row>
    <row r="21" spans="3:4" x14ac:dyDescent="0.2">
      <c r="C21" t="s">
        <v>32</v>
      </c>
      <c r="D21" s="1">
        <v>0</v>
      </c>
    </row>
    <row r="22" spans="3:4" x14ac:dyDescent="0.2">
      <c r="C22" t="s">
        <v>33</v>
      </c>
      <c r="D22" s="1">
        <v>0</v>
      </c>
    </row>
    <row r="23" spans="3:4" x14ac:dyDescent="0.2">
      <c r="C23" t="s">
        <v>34</v>
      </c>
      <c r="D23" s="1">
        <v>0</v>
      </c>
    </row>
    <row r="24" spans="3:4" x14ac:dyDescent="0.2">
      <c r="C24" t="s">
        <v>35</v>
      </c>
      <c r="D24" s="1" t="s">
        <v>13</v>
      </c>
    </row>
    <row r="25" spans="3:4" x14ac:dyDescent="0.2">
      <c r="C25" t="s">
        <v>5</v>
      </c>
      <c r="D25" s="1">
        <v>-8</v>
      </c>
    </row>
    <row r="26" spans="3:4" x14ac:dyDescent="0.2">
      <c r="C26" t="s">
        <v>6</v>
      </c>
      <c r="D26" s="1">
        <v>16</v>
      </c>
    </row>
    <row r="27" spans="3:4" x14ac:dyDescent="0.2">
      <c r="C27" t="s">
        <v>36</v>
      </c>
      <c r="D27" s="1">
        <v>0</v>
      </c>
    </row>
    <row r="28" spans="3:4" x14ac:dyDescent="0.2">
      <c r="C28" t="s">
        <v>38</v>
      </c>
      <c r="D28" s="1">
        <v>0</v>
      </c>
    </row>
    <row r="29" spans="3:4" x14ac:dyDescent="0.2">
      <c r="C29" t="s">
        <v>39</v>
      </c>
      <c r="D29" s="1" t="b">
        <v>1</v>
      </c>
    </row>
    <row r="30" spans="3:4" x14ac:dyDescent="0.2">
      <c r="C30" t="s">
        <v>40</v>
      </c>
    </row>
    <row r="31" spans="3:4" x14ac:dyDescent="0.2">
      <c r="C31" t="s">
        <v>41</v>
      </c>
      <c r="D31" s="1">
        <v>1</v>
      </c>
    </row>
    <row r="32" spans="3:4" x14ac:dyDescent="0.2">
      <c r="C32" t="s">
        <v>42</v>
      </c>
      <c r="D32" s="1">
        <v>0</v>
      </c>
    </row>
    <row r="33" spans="3:4" x14ac:dyDescent="0.2">
      <c r="C33" t="s">
        <v>19</v>
      </c>
      <c r="D33" s="1">
        <v>1</v>
      </c>
    </row>
    <row r="34" spans="3:4" x14ac:dyDescent="0.2">
      <c r="C34" t="s">
        <v>43</v>
      </c>
      <c r="D34" s="1" t="s">
        <v>14</v>
      </c>
    </row>
    <row r="35" spans="3:4" x14ac:dyDescent="0.2">
      <c r="C35" t="s">
        <v>44</v>
      </c>
      <c r="D35" s="1" t="s">
        <v>14</v>
      </c>
    </row>
    <row r="36" spans="3:4" x14ac:dyDescent="0.2">
      <c r="C36" t="s">
        <v>45</v>
      </c>
      <c r="D36" s="1" t="s">
        <v>57</v>
      </c>
    </row>
    <row r="37" spans="3:4" x14ac:dyDescent="0.2">
      <c r="C37" t="s">
        <v>46</v>
      </c>
      <c r="D37" s="1" t="b">
        <v>1</v>
      </c>
    </row>
    <row r="38" spans="3:4" x14ac:dyDescent="0.2">
      <c r="C38" t="s">
        <v>47</v>
      </c>
      <c r="D38" s="1" t="b">
        <v>1</v>
      </c>
    </row>
    <row r="39" spans="3:4" x14ac:dyDescent="0.2">
      <c r="C39" t="s">
        <v>48</v>
      </c>
      <c r="D39" s="1" t="b">
        <v>1</v>
      </c>
    </row>
    <row r="40" spans="3:4" x14ac:dyDescent="0.2">
      <c r="C40" t="s">
        <v>49</v>
      </c>
      <c r="D40" s="1" t="b">
        <v>1</v>
      </c>
    </row>
    <row r="41" spans="3:4" x14ac:dyDescent="0.2">
      <c r="C41" t="s">
        <v>50</v>
      </c>
      <c r="D41" s="1" t="b">
        <v>1</v>
      </c>
    </row>
    <row r="42" spans="3:4" x14ac:dyDescent="0.2">
      <c r="C42" t="s">
        <v>51</v>
      </c>
      <c r="D42" s="1" t="b">
        <v>1</v>
      </c>
    </row>
    <row r="43" spans="3:4" x14ac:dyDescent="0.2">
      <c r="C43" t="s">
        <v>52</v>
      </c>
      <c r="D43" s="1" t="b">
        <v>1</v>
      </c>
    </row>
    <row r="44" spans="3:4" x14ac:dyDescent="0.2">
      <c r="C44" t="s">
        <v>53</v>
      </c>
      <c r="D44" s="1">
        <v>0</v>
      </c>
    </row>
    <row r="45" spans="3:4" x14ac:dyDescent="0.2">
      <c r="C45" t="s">
        <v>54</v>
      </c>
      <c r="D45" s="1" t="s">
        <v>58</v>
      </c>
    </row>
    <row r="46" spans="3:4" x14ac:dyDescent="0.2">
      <c r="C46" t="s">
        <v>63</v>
      </c>
    </row>
    <row r="47" spans="3:4" x14ac:dyDescent="0.2">
      <c r="C47" t="s">
        <v>64</v>
      </c>
    </row>
    <row r="48" spans="3:4" x14ac:dyDescent="0.2">
      <c r="C48" t="s">
        <v>65</v>
      </c>
    </row>
    <row r="49" spans="1:3" x14ac:dyDescent="0.2">
      <c r="C49" t="s">
        <v>66</v>
      </c>
    </row>
    <row r="50" spans="1:3" x14ac:dyDescent="0.2">
      <c r="A50" t="s">
        <v>12</v>
      </c>
    </row>
  </sheetData>
  <dataConsolidate/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6"/>
  <sheetViews>
    <sheetView zoomScale="90" zoomScaleNormal="90" workbookViewId="0">
      <selection activeCell="B48" sqref="B48"/>
    </sheetView>
  </sheetViews>
  <sheetFormatPr defaultRowHeight="12.75" x14ac:dyDescent="0.2"/>
  <sheetData>
    <row r="1" spans="1:11" x14ac:dyDescent="0.2">
      <c r="A1" t="s">
        <v>174</v>
      </c>
    </row>
    <row r="3" spans="1:11" x14ac:dyDescent="0.2">
      <c r="A3" t="s">
        <v>90</v>
      </c>
      <c r="B3" t="s">
        <v>91</v>
      </c>
      <c r="D3" t="s">
        <v>90</v>
      </c>
      <c r="E3" t="s">
        <v>91</v>
      </c>
      <c r="G3" t="s">
        <v>90</v>
      </c>
      <c r="H3" t="s">
        <v>91</v>
      </c>
      <c r="J3" t="s">
        <v>90</v>
      </c>
      <c r="K3" t="s">
        <v>91</v>
      </c>
    </row>
    <row r="4" spans="1:11" x14ac:dyDescent="0.2">
      <c r="A4">
        <v>343.35</v>
      </c>
      <c r="B4">
        <v>604.62549999999999</v>
      </c>
      <c r="D4">
        <v>1932.5700000000002</v>
      </c>
      <c r="E4">
        <v>613.04949999999997</v>
      </c>
      <c r="G4">
        <v>3521.79</v>
      </c>
      <c r="H4">
        <v>574.23430000000008</v>
      </c>
      <c r="J4">
        <v>5111.01</v>
      </c>
      <c r="K4">
        <v>488.17989999999998</v>
      </c>
    </row>
    <row r="5" spans="1:11" x14ac:dyDescent="0.2">
      <c r="A5" t="s">
        <v>92</v>
      </c>
      <c r="B5" t="s">
        <v>93</v>
      </c>
      <c r="D5" t="s">
        <v>92</v>
      </c>
      <c r="E5" t="s">
        <v>93</v>
      </c>
      <c r="G5" t="s">
        <v>92</v>
      </c>
      <c r="H5" t="s">
        <v>93</v>
      </c>
      <c r="J5" t="s">
        <v>92</v>
      </c>
      <c r="K5" t="s">
        <v>93</v>
      </c>
    </row>
    <row r="6" spans="1:11" x14ac:dyDescent="0.2">
      <c r="A6">
        <f>Results!F5</f>
        <v>0</v>
      </c>
      <c r="B6">
        <v>0</v>
      </c>
      <c r="D6">
        <f>A6</f>
        <v>0</v>
      </c>
      <c r="E6">
        <v>0</v>
      </c>
      <c r="G6">
        <f>A6</f>
        <v>0</v>
      </c>
      <c r="H6">
        <v>0</v>
      </c>
      <c r="J6">
        <f>A6</f>
        <v>0</v>
      </c>
      <c r="K6">
        <v>0</v>
      </c>
    </row>
    <row r="7" spans="1:11" x14ac:dyDescent="0.2">
      <c r="A7">
        <f>Results!F6</f>
        <v>0.2</v>
      </c>
      <c r="B7">
        <v>1.4732626795740239E-3</v>
      </c>
      <c r="D7">
        <f t="shared" ref="D7:D70" si="0">A7</f>
        <v>0.2</v>
      </c>
      <c r="E7">
        <v>1.4909210638135257E-3</v>
      </c>
      <c r="G7">
        <f t="shared" ref="G7:G70" si="1">A7</f>
        <v>0.2</v>
      </c>
      <c r="H7">
        <v>1.3953139029433651E-3</v>
      </c>
      <c r="J7">
        <f t="shared" ref="J7:J70" si="2">A7</f>
        <v>0.2</v>
      </c>
      <c r="K7">
        <v>1.1858698001167855E-3</v>
      </c>
    </row>
    <row r="8" spans="1:11" x14ac:dyDescent="0.2">
      <c r="A8">
        <f>Results!F7</f>
        <v>0.4</v>
      </c>
      <c r="B8">
        <v>3.1908912604527895E-3</v>
      </c>
      <c r="D8">
        <f t="shared" si="0"/>
        <v>0.4</v>
      </c>
      <c r="E8">
        <v>3.2253485879674849E-3</v>
      </c>
      <c r="G8">
        <f t="shared" si="1"/>
        <v>0.4</v>
      </c>
      <c r="H8">
        <v>3.0166278731098175E-3</v>
      </c>
      <c r="J8">
        <f t="shared" si="2"/>
        <v>0.4</v>
      </c>
      <c r="K8">
        <v>2.5624335084067761E-3</v>
      </c>
    </row>
    <row r="9" spans="1:11" x14ac:dyDescent="0.2">
      <c r="A9">
        <f>Results!F8</f>
        <v>0.60000000000000009</v>
      </c>
      <c r="B9">
        <v>5.1510885966421184E-3</v>
      </c>
      <c r="D9">
        <f t="shared" si="0"/>
        <v>0.60000000000000009</v>
      </c>
      <c r="E9">
        <v>5.1968228438531187E-3</v>
      </c>
      <c r="G9">
        <f t="shared" si="1"/>
        <v>0.60000000000000009</v>
      </c>
      <c r="H9">
        <v>4.8556359114830076E-3</v>
      </c>
      <c r="J9">
        <f t="shared" si="2"/>
        <v>0.60000000000000009</v>
      </c>
      <c r="K9">
        <v>4.1211975883706491E-3</v>
      </c>
    </row>
    <row r="10" spans="1:11" x14ac:dyDescent="0.2">
      <c r="A10">
        <f>Results!F9</f>
        <v>0.8</v>
      </c>
      <c r="B10">
        <v>7.3520432233884232E-3</v>
      </c>
      <c r="D10">
        <f t="shared" si="0"/>
        <v>0.8</v>
      </c>
      <c r="E10">
        <v>7.3990475808197592E-3</v>
      </c>
      <c r="G10">
        <f t="shared" si="1"/>
        <v>0.8</v>
      </c>
      <c r="H10">
        <v>6.9043381131637513E-3</v>
      </c>
      <c r="J10">
        <f t="shared" si="2"/>
        <v>0.8</v>
      </c>
      <c r="K10">
        <v>5.8540487347718499E-3</v>
      </c>
    </row>
    <row r="11" spans="1:11" x14ac:dyDescent="0.2">
      <c r="A11">
        <f>Results!F10</f>
        <v>1</v>
      </c>
      <c r="B11">
        <v>9.7919435645448701E-3</v>
      </c>
      <c r="D11">
        <f t="shared" si="0"/>
        <v>1</v>
      </c>
      <c r="E11">
        <v>9.8258922606559943E-3</v>
      </c>
      <c r="G11">
        <f t="shared" si="1"/>
        <v>1</v>
      </c>
      <c r="H11">
        <v>9.155031147877456E-3</v>
      </c>
      <c r="J11">
        <f t="shared" si="2"/>
        <v>1</v>
      </c>
      <c r="K11">
        <v>7.7532368399905486E-3</v>
      </c>
    </row>
    <row r="12" spans="1:11" x14ac:dyDescent="0.2">
      <c r="A12">
        <f>Results!F11</f>
        <v>1.2</v>
      </c>
      <c r="B12">
        <v>1.2468986767098017E-2</v>
      </c>
      <c r="D12">
        <f t="shared" si="0"/>
        <v>1.2</v>
      </c>
      <c r="E12">
        <v>1.2471391588558811E-2</v>
      </c>
      <c r="G12">
        <f t="shared" si="1"/>
        <v>1.2</v>
      </c>
      <c r="H12">
        <v>1.1600298322106932E-2</v>
      </c>
      <c r="J12">
        <f t="shared" si="2"/>
        <v>1.2</v>
      </c>
      <c r="K12">
        <v>9.8113587221841554E-3</v>
      </c>
    </row>
    <row r="13" spans="1:11" x14ac:dyDescent="0.2">
      <c r="A13">
        <f>Results!F12</f>
        <v>1.4</v>
      </c>
      <c r="B13">
        <v>1.5381384298834655E-2</v>
      </c>
      <c r="D13">
        <f t="shared" si="0"/>
        <v>1.4</v>
      </c>
      <c r="E13">
        <v>1.5329743515937454E-2</v>
      </c>
      <c r="G13">
        <f t="shared" si="1"/>
        <v>1.4</v>
      </c>
      <c r="H13">
        <v>1.4232999568425086E-2</v>
      </c>
      <c r="J13">
        <f t="shared" si="2"/>
        <v>1.4</v>
      </c>
      <c r="K13">
        <v>1.2021342581637265E-2</v>
      </c>
    </row>
    <row r="14" spans="1:11" x14ac:dyDescent="0.2">
      <c r="A14">
        <f>Results!F13</f>
        <v>1.5999999999999999</v>
      </c>
      <c r="B14">
        <v>1.8527365530378658E-2</v>
      </c>
      <c r="D14">
        <f t="shared" si="0"/>
        <v>1.5999999999999999</v>
      </c>
      <c r="E14">
        <v>1.8395306365320781E-2</v>
      </c>
      <c r="G14">
        <f t="shared" si="1"/>
        <v>1.5999999999999999</v>
      </c>
      <c r="H14">
        <v>1.7046261543969821E-2</v>
      </c>
      <c r="J14">
        <f t="shared" si="2"/>
        <v>1.5999999999999999</v>
      </c>
      <c r="K14">
        <v>1.4376433153025465E-2</v>
      </c>
    </row>
    <row r="15" spans="1:11" x14ac:dyDescent="0.2">
      <c r="A15">
        <f>Results!F14</f>
        <v>1.7999999999999998</v>
      </c>
      <c r="B15">
        <v>2.1905180025937034E-2</v>
      </c>
      <c r="D15">
        <f t="shared" si="0"/>
        <v>1.7999999999999998</v>
      </c>
      <c r="E15">
        <v>2.1662595451643032E-2</v>
      </c>
      <c r="G15">
        <f t="shared" si="1"/>
        <v>1.7999999999999998</v>
      </c>
      <c r="H15">
        <v>2.003346793564937E-2</v>
      </c>
      <c r="J15">
        <f t="shared" si="2"/>
        <v>1.7999999999999998</v>
      </c>
      <c r="K15">
        <v>1.6870177522648182E-2</v>
      </c>
    </row>
    <row r="16" spans="1:11" x14ac:dyDescent="0.2">
      <c r="A16">
        <f>Results!F15</f>
        <v>1.9999999999999998</v>
      </c>
      <c r="B16">
        <v>2.5513098986515069E-2</v>
      </c>
      <c r="D16">
        <f t="shared" si="0"/>
        <v>1.9999999999999998</v>
      </c>
      <c r="E16">
        <v>2.5126279422610309E-2</v>
      </c>
      <c r="G16">
        <f t="shared" si="1"/>
        <v>1.9999999999999998</v>
      </c>
      <c r="H16">
        <v>2.3188250024249412E-2</v>
      </c>
      <c r="J16">
        <f t="shared" si="2"/>
        <v>1.9999999999999998</v>
      </c>
      <c r="K16">
        <v>1.9496411581023432E-2</v>
      </c>
    </row>
    <row r="17" spans="1:11" x14ac:dyDescent="0.2">
      <c r="A17">
        <f>Results!F16</f>
        <v>2.1999999999999997</v>
      </c>
      <c r="B17">
        <v>2.9349416125140065E-2</v>
      </c>
      <c r="D17">
        <f t="shared" si="0"/>
        <v>2.1999999999999997</v>
      </c>
      <c r="E17">
        <v>2.8781176454360801E-2</v>
      </c>
      <c r="G17">
        <f t="shared" si="1"/>
        <v>2.1999999999999997</v>
      </c>
      <c r="H17">
        <v>2.6504477534171348E-2</v>
      </c>
      <c r="J17">
        <f t="shared" si="2"/>
        <v>2.1999999999999997</v>
      </c>
      <c r="K17">
        <v>2.2249247082471769E-2</v>
      </c>
    </row>
    <row r="18" spans="1:11" x14ac:dyDescent="0.2">
      <c r="A18">
        <f>Results!F17</f>
        <v>2.4</v>
      </c>
      <c r="B18">
        <v>3.3412448154764046E-2</v>
      </c>
      <c r="D18">
        <f t="shared" si="0"/>
        <v>2.4</v>
      </c>
      <c r="E18">
        <v>3.2622250387665537E-2</v>
      </c>
      <c r="G18">
        <f t="shared" si="1"/>
        <v>2.4</v>
      </c>
      <c r="H18">
        <v>2.9976249780956071E-2</v>
      </c>
      <c r="J18">
        <f t="shared" si="2"/>
        <v>2.4</v>
      </c>
      <c r="K18">
        <v>2.5123059284616479E-2</v>
      </c>
    </row>
    <row r="19" spans="1:11" x14ac:dyDescent="0.2">
      <c r="A19">
        <f>Results!F18</f>
        <v>2.6</v>
      </c>
      <c r="B19">
        <v>3.7700535008127783E-2</v>
      </c>
      <c r="D19">
        <f t="shared" si="0"/>
        <v>2.6</v>
      </c>
      <c r="E19">
        <v>3.6644606858930201E-2</v>
      </c>
      <c r="G19">
        <f t="shared" si="1"/>
        <v>2.6</v>
      </c>
      <c r="H19">
        <v>3.3597887120083887E-2</v>
      </c>
      <c r="J19">
        <f t="shared" si="2"/>
        <v>2.6</v>
      </c>
      <c r="K19">
        <v>2.8112475141863859E-2</v>
      </c>
    </row>
    <row r="20" spans="1:11" x14ac:dyDescent="0.2">
      <c r="A20">
        <f>Results!F19</f>
        <v>2.8000000000000003</v>
      </c>
      <c r="B20">
        <v>4.2212039869992689E-2</v>
      </c>
      <c r="D20">
        <f t="shared" si="0"/>
        <v>2.8000000000000003</v>
      </c>
      <c r="E20">
        <v>4.0843489460953494E-2</v>
      </c>
      <c r="G20">
        <f t="shared" si="1"/>
        <v>2.8000000000000003</v>
      </c>
      <c r="H20">
        <v>3.7363922695397851E-2</v>
      </c>
      <c r="J20">
        <f t="shared" si="2"/>
        <v>2.8000000000000003</v>
      </c>
      <c r="K20">
        <v>3.1212362028095429E-2</v>
      </c>
    </row>
    <row r="21" spans="1:11" x14ac:dyDescent="0.2">
      <c r="A21">
        <f>Results!F20</f>
        <v>3.0000000000000004</v>
      </c>
      <c r="B21">
        <v>4.694534907686819E-2</v>
      </c>
      <c r="D21">
        <f t="shared" si="0"/>
        <v>3.0000000000000004</v>
      </c>
      <c r="E21">
        <v>4.5214275956131741E-2</v>
      </c>
      <c r="G21">
        <f t="shared" si="1"/>
        <v>3.0000000000000004</v>
      </c>
      <c r="H21">
        <v>4.1269094482373085E-2</v>
      </c>
      <c r="J21">
        <f t="shared" si="2"/>
        <v>3.0000000000000004</v>
      </c>
      <c r="K21">
        <v>3.4417816964889679E-2</v>
      </c>
    </row>
    <row r="22" spans="1:11" x14ac:dyDescent="0.2">
      <c r="A22">
        <f>Results!F21</f>
        <v>3.2000000000000006</v>
      </c>
      <c r="B22">
        <v>5.1898871922637375E-2</v>
      </c>
      <c r="D22">
        <f t="shared" si="0"/>
        <v>3.2000000000000006</v>
      </c>
      <c r="E22">
        <v>4.9752474556750914E-2</v>
      </c>
      <c r="G22">
        <f t="shared" si="1"/>
        <v>3.2000000000000006</v>
      </c>
      <c r="H22">
        <v>4.5308337619580093E-2</v>
      </c>
      <c r="J22">
        <f t="shared" si="2"/>
        <v>3.2000000000000006</v>
      </c>
      <c r="K22">
        <v>3.7724156332641673E-2</v>
      </c>
    </row>
    <row r="23" spans="1:11" x14ac:dyDescent="0.2">
      <c r="A23">
        <f>Results!F22</f>
        <v>3.4000000000000008</v>
      </c>
      <c r="B23">
        <v>5.7071040397239883E-2</v>
      </c>
      <c r="D23">
        <f t="shared" si="0"/>
        <v>3.4000000000000008</v>
      </c>
      <c r="E23">
        <v>5.4453720281753486E-2</v>
      </c>
      <c r="G23">
        <f t="shared" si="1"/>
        <v>3.4000000000000008</v>
      </c>
      <c r="H23">
        <v>4.9476777020586643E-2</v>
      </c>
      <c r="J23">
        <f t="shared" si="2"/>
        <v>3.4000000000000008</v>
      </c>
      <c r="K23">
        <v>4.112690604296599E-2</v>
      </c>
    </row>
    <row r="24" spans="1:11" x14ac:dyDescent="0.2">
      <c r="A24">
        <f>Results!F23</f>
        <v>3.600000000000001</v>
      </c>
      <c r="B24">
        <v>6.246030887781534E-2</v>
      </c>
      <c r="D24">
        <f t="shared" si="0"/>
        <v>3.600000000000001</v>
      </c>
      <c r="E24">
        <v>5.9313771395772125E-2</v>
      </c>
      <c r="G24">
        <f t="shared" si="1"/>
        <v>3.600000000000001</v>
      </c>
      <c r="H24">
        <v>5.3769720257913621E-2</v>
      </c>
      <c r="J24">
        <f t="shared" si="2"/>
        <v>3.600000000000001</v>
      </c>
      <c r="K24">
        <v>4.4621792151698307E-2</v>
      </c>
    </row>
    <row r="25" spans="1:11" x14ac:dyDescent="0.2">
      <c r="A25">
        <f>Results!F24</f>
        <v>3.8000000000000012</v>
      </c>
      <c r="B25">
        <v>6.8065153786370583E-2</v>
      </c>
      <c r="D25">
        <f t="shared" si="0"/>
        <v>3.8000000000000012</v>
      </c>
      <c r="E25">
        <v>6.4328505933810828E-2</v>
      </c>
      <c r="G25">
        <f t="shared" si="1"/>
        <v>3.8000000000000012</v>
      </c>
      <c r="H25">
        <v>5.8182650710375497E-2</v>
      </c>
      <c r="J25">
        <f t="shared" si="2"/>
        <v>3.8000000000000012</v>
      </c>
      <c r="K25">
        <v>4.8204731892761893E-2</v>
      </c>
    </row>
    <row r="26" spans="1:11" x14ac:dyDescent="0.2">
      <c r="A26">
        <f>Results!F25</f>
        <v>4.0000000000000009</v>
      </c>
      <c r="B26">
        <v>7.3884073224236888E-2</v>
      </c>
      <c r="D26">
        <f t="shared" si="0"/>
        <v>4.0000000000000009</v>
      </c>
      <c r="E26">
        <v>6.9493918313290076E-2</v>
      </c>
      <c r="G26">
        <f t="shared" si="1"/>
        <v>4.0000000000000009</v>
      </c>
      <c r="H26">
        <v>6.271122096500556E-2</v>
      </c>
      <c r="J26">
        <f t="shared" si="2"/>
        <v>4.0000000000000009</v>
      </c>
      <c r="K26">
        <v>5.18718251140418E-2</v>
      </c>
    </row>
    <row r="27" spans="1:11" x14ac:dyDescent="0.2">
      <c r="A27">
        <f>Results!F26</f>
        <v>4.2000000000000011</v>
      </c>
      <c r="B27">
        <v>7.9915586590867463E-2</v>
      </c>
      <c r="D27">
        <f t="shared" si="0"/>
        <v>4.2000000000000011</v>
      </c>
      <c r="E27">
        <v>7.4806116033992204E-2</v>
      </c>
      <c r="G27">
        <f t="shared" si="1"/>
        <v>4.2000000000000011</v>
      </c>
      <c r="H27">
        <v>6.7351246464811262E-2</v>
      </c>
      <c r="J27">
        <f t="shared" si="2"/>
        <v>4.2000000000000011</v>
      </c>
      <c r="K27">
        <v>5.5619346097221259E-2</v>
      </c>
    </row>
    <row r="28" spans="1:11" x14ac:dyDescent="0.2">
      <c r="A28">
        <f>Results!F27</f>
        <v>4.4000000000000012</v>
      </c>
      <c r="B28">
        <v>8.6158234192597813E-2</v>
      </c>
      <c r="D28">
        <f t="shared" si="0"/>
        <v>4.4000000000000012</v>
      </c>
      <c r="E28">
        <v>8.0261316465656207E-2</v>
      </c>
      <c r="G28">
        <f t="shared" si="1"/>
        <v>4.4000000000000012</v>
      </c>
      <c r="H28">
        <v>7.2098699393710386E-2</v>
      </c>
      <c r="J28">
        <f t="shared" si="2"/>
        <v>4.4000000000000012</v>
      </c>
      <c r="K28">
        <v>5.9443735744384323E-2</v>
      </c>
    </row>
    <row r="29" spans="1:11" x14ac:dyDescent="0.2">
      <c r="A29">
        <f>Results!F28</f>
        <v>4.6000000000000014</v>
      </c>
      <c r="B29">
        <v>9.2610576845542483E-2</v>
      </c>
      <c r="D29">
        <f t="shared" si="0"/>
        <v>4.6000000000000014</v>
      </c>
      <c r="E29">
        <v>8.5855843722377659E-2</v>
      </c>
      <c r="G29">
        <f t="shared" si="1"/>
        <v>4.6000000000000014</v>
      </c>
      <c r="H29">
        <v>7.6949702790163499E-2</v>
      </c>
      <c r="J29">
        <f t="shared" si="2"/>
        <v>4.6000000000000014</v>
      </c>
      <c r="K29">
        <v>6.3341594114917729E-2</v>
      </c>
    </row>
    <row r="30" spans="1:11" x14ac:dyDescent="0.2">
      <c r="A30">
        <f>Results!F29</f>
        <v>4.8000000000000016</v>
      </c>
      <c r="B30">
        <v>9.9271195475761714E-2</v>
      </c>
      <c r="D30">
        <f t="shared" si="0"/>
        <v>4.8000000000000016</v>
      </c>
      <c r="E30">
        <v>9.1586125622606762E-2</v>
      </c>
      <c r="G30">
        <f t="shared" si="1"/>
        <v>4.8000000000000016</v>
      </c>
      <c r="H30">
        <v>8.1900524881236489E-2</v>
      </c>
      <c r="J30">
        <f t="shared" si="2"/>
        <v>4.8000000000000016</v>
      </c>
      <c r="K30">
        <v>6.7309673297009667E-2</v>
      </c>
    </row>
    <row r="31" spans="1:11" x14ac:dyDescent="0.2">
      <c r="A31">
        <f>Results!F30</f>
        <v>5.0000000000000018</v>
      </c>
      <c r="B31">
        <v>0.10613869071905437</v>
      </c>
      <c r="D31">
        <f t="shared" si="0"/>
        <v>5.0000000000000018</v>
      </c>
      <c r="E31">
        <v>9.7448690733231549E-2</v>
      </c>
      <c r="G31">
        <f t="shared" si="1"/>
        <v>5.0000000000000018</v>
      </c>
      <c r="H31">
        <v>8.6947573629042735E-2</v>
      </c>
      <c r="J31">
        <f t="shared" si="2"/>
        <v>5.0000000000000018</v>
      </c>
      <c r="K31">
        <v>7.1344870598727919E-2</v>
      </c>
    </row>
    <row r="32" spans="1:11" x14ac:dyDescent="0.2">
      <c r="A32">
        <f>Results!F31</f>
        <v>5.200000000000002</v>
      </c>
      <c r="B32">
        <v>0.11321168252212671</v>
      </c>
      <c r="D32">
        <f t="shared" si="0"/>
        <v>5.200000000000002</v>
      </c>
      <c r="E32">
        <v>0.10344016549606418</v>
      </c>
      <c r="G32">
        <f t="shared" si="1"/>
        <v>5.200000000000002</v>
      </c>
      <c r="H32">
        <v>9.2087391481754988E-2</v>
      </c>
      <c r="J32">
        <f t="shared" si="2"/>
        <v>5.200000000000002</v>
      </c>
      <c r="K32">
        <v>7.5444222044338718E-2</v>
      </c>
    </row>
    <row r="33" spans="1:11" x14ac:dyDescent="0.2">
      <c r="A33">
        <f>Results!F32</f>
        <v>5.4000000000000021</v>
      </c>
      <c r="B33">
        <v>0.12048880974648513</v>
      </c>
      <c r="D33">
        <f t="shared" si="0"/>
        <v>5.4000000000000021</v>
      </c>
      <c r="E33">
        <v>0.10955727143491832</v>
      </c>
      <c r="G33">
        <f t="shared" si="1"/>
        <v>5.4000000000000021</v>
      </c>
      <c r="H33">
        <v>9.7316650321635043E-2</v>
      </c>
      <c r="J33">
        <f t="shared" si="2"/>
        <v>5.4000000000000021</v>
      </c>
      <c r="K33">
        <v>7.9604896162175379E-2</v>
      </c>
    </row>
    <row r="34" spans="1:11" x14ac:dyDescent="0.2">
      <c r="A34">
        <f>Results!F33</f>
        <v>5.6000000000000023</v>
      </c>
      <c r="B34">
        <v>0.12796872977600068</v>
      </c>
      <c r="D34">
        <f t="shared" si="0"/>
        <v>5.6000000000000023</v>
      </c>
      <c r="E34">
        <v>0.11579682244138112</v>
      </c>
      <c r="G34">
        <f t="shared" si="1"/>
        <v>5.6000000000000023</v>
      </c>
      <c r="H34">
        <v>0.10263214660275602</v>
      </c>
      <c r="J34">
        <f t="shared" si="2"/>
        <v>5.6000000000000023</v>
      </c>
      <c r="K34">
        <v>8.3824188050965448E-2</v>
      </c>
    </row>
    <row r="35" spans="1:11" x14ac:dyDescent="0.2">
      <c r="A35">
        <f>Results!F34</f>
        <v>5.8000000000000025</v>
      </c>
      <c r="B35">
        <v>0.13565011812891464</v>
      </c>
      <c r="D35">
        <f t="shared" si="0"/>
        <v>5.8000000000000025</v>
      </c>
      <c r="E35">
        <v>0.12215572213735489</v>
      </c>
      <c r="G35">
        <f t="shared" si="1"/>
        <v>5.8000000000000025</v>
      </c>
      <c r="H35">
        <v>0.10803079667137572</v>
      </c>
      <c r="J35">
        <f t="shared" si="2"/>
        <v>5.8000000000000025</v>
      </c>
      <c r="K35">
        <v>8.8099513712125294E-2</v>
      </c>
    </row>
    <row r="36" spans="1:11" x14ac:dyDescent="0.2">
      <c r="A36">
        <f>Results!F35</f>
        <v>6.0000000000000027</v>
      </c>
      <c r="B36">
        <v>0.14353166807478257</v>
      </c>
      <c r="D36">
        <f t="shared" si="0"/>
        <v>6.0000000000000027</v>
      </c>
      <c r="E36">
        <v>0.12863096131239474</v>
      </c>
      <c r="G36">
        <f t="shared" si="1"/>
        <v>6.0000000000000027</v>
      </c>
      <c r="H36">
        <v>0.11350963226212055</v>
      </c>
      <c r="J36">
        <f t="shared" si="2"/>
        <v>6.0000000000000027</v>
      </c>
      <c r="K36">
        <v>9.2428404636075073E-2</v>
      </c>
    </row>
    <row r="37" spans="1:11" x14ac:dyDescent="0.2">
      <c r="A37">
        <f>Results!F36</f>
        <v>6.2000000000000028</v>
      </c>
      <c r="B37">
        <v>0.15161209025675476</v>
      </c>
      <c r="D37">
        <f t="shared" si="0"/>
        <v>6.2000000000000028</v>
      </c>
      <c r="E37">
        <v>0.13521961543389593</v>
      </c>
      <c r="G37">
        <f t="shared" si="1"/>
        <v>6.2000000000000028</v>
      </c>
      <c r="H37">
        <v>0.11906579616342147</v>
      </c>
      <c r="J37">
        <f t="shared" si="2"/>
        <v>6.2000000000000028</v>
      </c>
      <c r="K37">
        <v>9.6808502631194712E-2</v>
      </c>
    </row>
    <row r="38" spans="1:11" x14ac:dyDescent="0.2">
      <c r="A38">
        <f>Results!F37</f>
        <v>6.400000000000003</v>
      </c>
      <c r="B38">
        <v>0.15989011231944955</v>
      </c>
      <c r="D38">
        <f t="shared" si="0"/>
        <v>6.400000000000003</v>
      </c>
      <c r="E38">
        <v>0.14191884222817291</v>
      </c>
      <c r="G38">
        <f t="shared" si="1"/>
        <v>6.400000000000003</v>
      </c>
      <c r="H38">
        <v>0.12469653804585247</v>
      </c>
      <c r="J38">
        <f t="shared" si="2"/>
        <v>6.400000000000003</v>
      </c>
      <c r="K38">
        <v>0.1012375548845036</v>
      </c>
    </row>
    <row r="39" spans="1:11" x14ac:dyDescent="0.2">
      <c r="A39">
        <f>Results!F38</f>
        <v>6.6000000000000032</v>
      </c>
      <c r="B39">
        <v>0.16836447854258124</v>
      </c>
      <c r="D39">
        <f t="shared" si="0"/>
        <v>6.6000000000000032</v>
      </c>
      <c r="E39">
        <v>0.14872587933050171</v>
      </c>
      <c r="G39">
        <f t="shared" si="1"/>
        <v>6.6000000000000032</v>
      </c>
      <c r="H39">
        <v>0.13039921044725791</v>
      </c>
      <c r="J39">
        <f t="shared" si="2"/>
        <v>6.6000000000000032</v>
      </c>
      <c r="K39">
        <v>0.10571340924368262</v>
      </c>
    </row>
    <row r="40" spans="1:11" x14ac:dyDescent="0.2">
      <c r="A40">
        <f>Results!F39</f>
        <v>6.8000000000000034</v>
      </c>
      <c r="B40">
        <v>0.17703394948045309</v>
      </c>
      <c r="D40">
        <f t="shared" si="0"/>
        <v>6.8000000000000034</v>
      </c>
      <c r="E40">
        <v>0.15563804200222725</v>
      </c>
      <c r="G40">
        <f t="shared" si="1"/>
        <v>6.8000000000000034</v>
      </c>
      <c r="H40">
        <v>0.13617126490878206</v>
      </c>
      <c r="J40">
        <f t="shared" si="2"/>
        <v>6.8000000000000034</v>
      </c>
      <c r="K40">
        <v>0.11023400971049002</v>
      </c>
    </row>
    <row r="41" spans="1:11" x14ac:dyDescent="0.2">
      <c r="A41">
        <f>Results!F40</f>
        <v>7.0000000000000036</v>
      </c>
      <c r="B41">
        <v>0.18589730160734691</v>
      </c>
      <c r="D41">
        <f t="shared" si="0"/>
        <v>7.0000000000000036</v>
      </c>
      <c r="E41">
        <v>0.16265272091306346</v>
      </c>
      <c r="G41">
        <f t="shared" si="1"/>
        <v>7.0000000000000036</v>
      </c>
      <c r="H41">
        <v>0.14201024825613276</v>
      </c>
      <c r="J41">
        <f t="shared" si="2"/>
        <v>7.0000000000000036</v>
      </c>
      <c r="K41">
        <v>0.11479739213609483</v>
      </c>
    </row>
    <row r="42" spans="1:11" x14ac:dyDescent="0.2">
      <c r="A42">
        <f>Results!F41</f>
        <v>7.2000000000000037</v>
      </c>
      <c r="B42">
        <v>0.19495332696882062</v>
      </c>
      <c r="D42">
        <f t="shared" si="0"/>
        <v>7.2000000000000037</v>
      </c>
      <c r="E42">
        <v>0.1697673799867554</v>
      </c>
      <c r="G42">
        <f t="shared" si="1"/>
        <v>7.2000000000000037</v>
      </c>
      <c r="H42">
        <v>0.14791379902060214</v>
      </c>
      <c r="J42">
        <f t="shared" si="2"/>
        <v>7.2000000000000037</v>
      </c>
      <c r="K42">
        <v>0.11940168010925534</v>
      </c>
    </row>
    <row r="43" spans="1:11" x14ac:dyDescent="0.2">
      <c r="A43">
        <f>Results!F42</f>
        <v>7.4000000000000039</v>
      </c>
      <c r="B43">
        <v>0.20420083283886226</v>
      </c>
      <c r="D43">
        <f t="shared" si="0"/>
        <v>7.4000000000000039</v>
      </c>
      <c r="E43">
        <v>0.1769795543083062</v>
      </c>
      <c r="G43">
        <f t="shared" si="1"/>
        <v>7.4000000000000039</v>
      </c>
      <c r="H43">
        <v>0.15387964399459608</v>
      </c>
      <c r="J43">
        <f t="shared" si="2"/>
        <v>7.4000000000000039</v>
      </c>
      <c r="K43">
        <v>0.12404508102868472</v>
      </c>
    </row>
    <row r="44" spans="1:11" x14ac:dyDescent="0.2">
      <c r="A44">
        <f>Results!F43</f>
        <v>7.6000000000000041</v>
      </c>
      <c r="B44">
        <v>0.21363864138287109</v>
      </c>
      <c r="D44">
        <f t="shared" si="0"/>
        <v>7.6000000000000041</v>
      </c>
      <c r="E44">
        <v>0.18428684809102774</v>
      </c>
      <c r="G44">
        <f t="shared" si="1"/>
        <v>7.6000000000000041</v>
      </c>
      <c r="H44">
        <v>0.15990559491659678</v>
      </c>
      <c r="J44">
        <f t="shared" si="2"/>
        <v>7.6000000000000041</v>
      </c>
      <c r="K44">
        <v>0.12872588235134516</v>
      </c>
    </row>
    <row r="45" spans="1:11" x14ac:dyDescent="0.2">
      <c r="A45">
        <f>Results!F44</f>
        <v>7.8000000000000043</v>
      </c>
      <c r="B45">
        <v>0.22326558932635299</v>
      </c>
      <c r="D45">
        <f t="shared" si="0"/>
        <v>7.8000000000000043</v>
      </c>
      <c r="E45">
        <v>0.19168693270168927</v>
      </c>
      <c r="G45">
        <f t="shared" si="1"/>
        <v>7.8000000000000043</v>
      </c>
      <c r="H45">
        <v>0.16598954528068327</v>
      </c>
      <c r="J45">
        <f t="shared" si="2"/>
        <v>7.8000000000000043</v>
      </c>
      <c r="K45">
        <v>0.13344244800876431</v>
      </c>
    </row>
    <row r="46" spans="1:11" x14ac:dyDescent="0.2">
      <c r="A46">
        <f>Results!F45</f>
        <v>8.0000000000000036</v>
      </c>
      <c r="B46">
        <v>0.23308052762927026</v>
      </c>
      <c r="D46">
        <f t="shared" si="0"/>
        <v>8.0000000000000036</v>
      </c>
      <c r="E46">
        <v>0.1991775447421138</v>
      </c>
      <c r="G46">
        <f t="shared" si="1"/>
        <v>8.0000000000000036</v>
      </c>
      <c r="H46">
        <v>0.17212946726592063</v>
      </c>
      <c r="J46">
        <f t="shared" si="2"/>
        <v>8.0000000000000036</v>
      </c>
      <c r="K46">
        <v>0.13819321498383802</v>
      </c>
    </row>
    <row r="47" spans="1:11" x14ac:dyDescent="0.2">
      <c r="A47">
        <f>Results!F46</f>
        <v>8.2000000000000028</v>
      </c>
      <c r="B47">
        <v>0.24308232116591333</v>
      </c>
      <c r="D47">
        <f t="shared" si="0"/>
        <v>8.2000000000000028</v>
      </c>
      <c r="E47">
        <v>0.20675648418557996</v>
      </c>
      <c r="G47">
        <f t="shared" si="1"/>
        <v>8.2000000000000028</v>
      </c>
      <c r="H47">
        <v>0.17832340878108535</v>
      </c>
      <c r="J47">
        <f t="shared" si="2"/>
        <v>8.2000000000000028</v>
      </c>
      <c r="K47">
        <v>0.14297669004090974</v>
      </c>
    </row>
    <row r="48" spans="1:11" x14ac:dyDescent="0.2">
      <c r="A48">
        <f>Results!F47</f>
        <v>8.4000000000000021</v>
      </c>
      <c r="B48">
        <v>0.25326984841020583</v>
      </c>
      <c r="D48">
        <f t="shared" si="0"/>
        <v>8.4000000000000021</v>
      </c>
      <c r="E48">
        <v>0.2144216125664668</v>
      </c>
      <c r="G48">
        <f t="shared" si="1"/>
        <v>8.4000000000000021</v>
      </c>
      <c r="H48">
        <v>0.18456949062038841</v>
      </c>
      <c r="J48">
        <f t="shared" si="2"/>
        <v>8.4000000000000021</v>
      </c>
      <c r="K48">
        <v>0.14779144660225227</v>
      </c>
    </row>
    <row r="49" spans="1:11" x14ac:dyDescent="0.2">
      <c r="A49">
        <f>Results!F48</f>
        <v>8.6000000000000014</v>
      </c>
      <c r="B49">
        <v>0.26364200112630781</v>
      </c>
      <c r="D49">
        <f t="shared" si="0"/>
        <v>8.6000000000000014</v>
      </c>
      <c r="E49">
        <v>0.22217085122158456</v>
      </c>
      <c r="G49">
        <f t="shared" si="1"/>
        <v>8.6000000000000014</v>
      </c>
      <c r="H49">
        <v>0.19086590372600001</v>
      </c>
      <c r="J49">
        <f t="shared" si="2"/>
        <v>8.6000000000000014</v>
      </c>
      <c r="K49">
        <v>0.15263612176436953</v>
      </c>
    </row>
    <row r="50" spans="1:11" x14ac:dyDescent="0.2">
      <c r="A50">
        <f>Results!F49</f>
        <v>8.8000000000000007</v>
      </c>
      <c r="B50">
        <v>0.27419768406441203</v>
      </c>
      <c r="D50">
        <f t="shared" si="0"/>
        <v>8.8000000000000007</v>
      </c>
      <c r="E50">
        <v>0.23000217958170951</v>
      </c>
      <c r="G50">
        <f t="shared" si="1"/>
        <v>8.8000000000000007</v>
      </c>
      <c r="H50">
        <v>0.19721090655335502</v>
      </c>
      <c r="J50">
        <f t="shared" si="2"/>
        <v>8.8000000000000007</v>
      </c>
      <c r="K50">
        <v>0.15750941344786129</v>
      </c>
    </row>
    <row r="51" spans="1:11" x14ac:dyDescent="0.2">
      <c r="A51">
        <f>Results!F50</f>
        <v>9</v>
      </c>
      <c r="B51">
        <v>0.28493581466159418</v>
      </c>
      <c r="D51">
        <f t="shared" si="0"/>
        <v>9</v>
      </c>
      <c r="E51">
        <v>0.23791363351185366</v>
      </c>
      <c r="G51">
        <f t="shared" si="1"/>
        <v>9</v>
      </c>
      <c r="H51">
        <v>0.20360282253534831</v>
      </c>
      <c r="J51">
        <f t="shared" si="2"/>
        <v>9</v>
      </c>
      <c r="K51">
        <v>0.16241007767483029</v>
      </c>
    </row>
    <row r="52" spans="1:11" x14ac:dyDescent="0.2">
      <c r="A52">
        <f>Results!F51</f>
        <v>9.1999999999999993</v>
      </c>
      <c r="B52">
        <v>0.29585532274760495</v>
      </c>
      <c r="D52">
        <f t="shared" si="0"/>
        <v>9.1999999999999993</v>
      </c>
      <c r="E52">
        <v>0.24590330369886551</v>
      </c>
      <c r="G52">
        <f t="shared" si="1"/>
        <v>9.1999999999999993</v>
      </c>
      <c r="H52">
        <v>0.21004003764170048</v>
      </c>
      <c r="J52">
        <f t="shared" si="2"/>
        <v>9.1999999999999993</v>
      </c>
      <c r="K52">
        <v>0.16733692596812513</v>
      </c>
    </row>
    <row r="53" spans="1:11" x14ac:dyDescent="0.2">
      <c r="A53">
        <f>Results!F52</f>
        <v>9.3999999999999986</v>
      </c>
      <c r="B53">
        <v>0.30695515025547576</v>
      </c>
      <c r="D53">
        <f t="shared" si="0"/>
        <v>9.3999999999999986</v>
      </c>
      <c r="E53">
        <v>0.25396933408497974</v>
      </c>
      <c r="G53">
        <f t="shared" si="1"/>
        <v>9.3999999999999986</v>
      </c>
      <c r="H53">
        <v>0.2165209980298905</v>
      </c>
      <c r="J53">
        <f t="shared" si="2"/>
        <v>9.3999999999999986</v>
      </c>
      <c r="K53">
        <v>0.17228882286694083</v>
      </c>
    </row>
    <row r="54" spans="1:11" x14ac:dyDescent="0.2">
      <c r="A54">
        <f>Results!F53</f>
        <v>9.5999999999999979</v>
      </c>
      <c r="B54">
        <v>0.31823425093681523</v>
      </c>
      <c r="D54">
        <f t="shared" si="0"/>
        <v>9.5999999999999979</v>
      </c>
      <c r="E54">
        <v>0.26210992034597941</v>
      </c>
      <c r="G54">
        <f t="shared" si="1"/>
        <v>9.5999999999999979</v>
      </c>
      <c r="H54">
        <v>0.22304420778420497</v>
      </c>
      <c r="J54">
        <f t="shared" si="2"/>
        <v>9.5999999999999979</v>
      </c>
      <c r="K54">
        <v>0.17726468355355729</v>
      </c>
    </row>
    <row r="55" spans="1:11" x14ac:dyDescent="0.2">
      <c r="A55">
        <f>Results!F54</f>
        <v>9.7999999999999972</v>
      </c>
      <c r="B55">
        <v>0.32969159008167359</v>
      </c>
      <c r="D55">
        <f t="shared" si="0"/>
        <v>9.7999999999999972</v>
      </c>
      <c r="E55">
        <v>0.27032330841268049</v>
      </c>
      <c r="G55">
        <f t="shared" si="1"/>
        <v>9.7999999999999972</v>
      </c>
      <c r="H55">
        <v>0.22960822673957701</v>
      </c>
      <c r="J55">
        <f t="shared" si="2"/>
        <v>9.7999999999999972</v>
      </c>
      <c r="K55">
        <v>0.18226347158622222</v>
      </c>
    </row>
    <row r="56" spans="1:11" x14ac:dyDescent="0.2">
      <c r="A56">
        <f>Results!F55</f>
        <v>9.9999999999999964</v>
      </c>
      <c r="B56">
        <v>0.34132614424285618</v>
      </c>
      <c r="D56">
        <f t="shared" si="0"/>
        <v>9.9999999999999964</v>
      </c>
      <c r="E56">
        <v>0.27860779303446392</v>
      </c>
      <c r="G56">
        <f t="shared" si="1"/>
        <v>9.9999999999999964</v>
      </c>
      <c r="H56">
        <v>0.23621166838700744</v>
      </c>
      <c r="J56">
        <f t="shared" si="2"/>
        <v>9.9999999999999964</v>
      </c>
      <c r="K56">
        <v>0.18728419673341415</v>
      </c>
    </row>
    <row r="57" spans="1:11" x14ac:dyDescent="0.2">
      <c r="A57">
        <f>Results!F56</f>
        <v>10.499999999999996</v>
      </c>
      <c r="B57">
        <v>0.37118341158471735</v>
      </c>
      <c r="D57">
        <f t="shared" si="0"/>
        <v>10.499999999999996</v>
      </c>
      <c r="E57">
        <v>0.2996227985882145</v>
      </c>
      <c r="G57">
        <f t="shared" si="1"/>
        <v>10.499999999999996</v>
      </c>
      <c r="H57">
        <v>0.25288690663002994</v>
      </c>
      <c r="J57">
        <f t="shared" si="2"/>
        <v>10.499999999999996</v>
      </c>
      <c r="K57">
        <v>0.19992784527296337</v>
      </c>
    </row>
    <row r="58" spans="1:11" x14ac:dyDescent="0.2">
      <c r="A58">
        <f>Results!F57</f>
        <v>10.999999999999996</v>
      </c>
      <c r="B58">
        <v>0.40212641757965284</v>
      </c>
      <c r="D58">
        <f t="shared" si="0"/>
        <v>10.999999999999996</v>
      </c>
      <c r="E58">
        <v>0.32104715186888716</v>
      </c>
      <c r="G58">
        <f t="shared" si="1"/>
        <v>10.999999999999996</v>
      </c>
      <c r="H58">
        <v>0.26978069518254116</v>
      </c>
      <c r="J58">
        <f t="shared" si="2"/>
        <v>10.999999999999996</v>
      </c>
      <c r="K58">
        <v>0.21268905788128625</v>
      </c>
    </row>
    <row r="59" spans="1:11" x14ac:dyDescent="0.2">
      <c r="A59">
        <f>Results!F58</f>
        <v>11.499999999999996</v>
      </c>
      <c r="B59">
        <v>0.43414002839483495</v>
      </c>
      <c r="D59">
        <f t="shared" si="0"/>
        <v>11.499999999999996</v>
      </c>
      <c r="E59">
        <v>0.34285788219450153</v>
      </c>
      <c r="G59">
        <f t="shared" si="1"/>
        <v>11.499999999999996</v>
      </c>
      <c r="H59">
        <v>0.28687529975643572</v>
      </c>
      <c r="J59">
        <f t="shared" si="2"/>
        <v>11.499999999999996</v>
      </c>
      <c r="K59">
        <v>0.22555567386613851</v>
      </c>
    </row>
    <row r="60" spans="1:11" x14ac:dyDescent="0.2">
      <c r="A60">
        <f>Results!F59</f>
        <v>11.999999999999996</v>
      </c>
      <c r="B60">
        <v>0.46720947927712547</v>
      </c>
      <c r="D60">
        <f t="shared" si="0"/>
        <v>11.999999999999996</v>
      </c>
      <c r="E60">
        <v>0.36503357540057857</v>
      </c>
      <c r="G60">
        <f t="shared" si="1"/>
        <v>11.999999999999996</v>
      </c>
      <c r="H60">
        <v>0.30415458938934153</v>
      </c>
      <c r="J60">
        <f t="shared" si="2"/>
        <v>11.999999999999996</v>
      </c>
      <c r="K60">
        <v>0.23851684298720427</v>
      </c>
    </row>
    <row r="61" spans="1:11" x14ac:dyDescent="0.2">
      <c r="A61">
        <f>Results!F60</f>
        <v>12.499999999999996</v>
      </c>
      <c r="B61">
        <v>0.50132035098011984</v>
      </c>
      <c r="D61">
        <f t="shared" si="0"/>
        <v>12.499999999999996</v>
      </c>
      <c r="E61">
        <v>0.38755426482358979</v>
      </c>
      <c r="G61">
        <f t="shared" si="1"/>
        <v>12.499999999999996</v>
      </c>
      <c r="H61">
        <v>0.32160389011666562</v>
      </c>
      <c r="J61">
        <f t="shared" si="2"/>
        <v>12.499999999999996</v>
      </c>
      <c r="K61">
        <v>0.25156288390827974</v>
      </c>
    </row>
    <row r="62" spans="1:11" x14ac:dyDescent="0.2">
      <c r="A62">
        <f>Results!F61</f>
        <v>12.999999999999996</v>
      </c>
      <c r="B62">
        <v>0.53645854701209206</v>
      </c>
      <c r="D62">
        <f t="shared" si="0"/>
        <v>12.999999999999996</v>
      </c>
      <c r="E62">
        <v>0.41040132981387428</v>
      </c>
      <c r="G62">
        <f t="shared" si="1"/>
        <v>12.999999999999996</v>
      </c>
      <c r="H62">
        <v>0.33920985194398873</v>
      </c>
      <c r="J62">
        <f t="shared" si="2"/>
        <v>12.999999999999996</v>
      </c>
      <c r="K62">
        <v>0.26468515793763175</v>
      </c>
    </row>
    <row r="63" spans="1:11" x14ac:dyDescent="0.2">
      <c r="A63">
        <f>Results!F62</f>
        <v>13.499999999999996</v>
      </c>
      <c r="B63">
        <v>0.57261027165422185</v>
      </c>
      <c r="D63">
        <f t="shared" si="0"/>
        <v>13.499999999999996</v>
      </c>
      <c r="E63">
        <v>0.43355740124293296</v>
      </c>
      <c r="G63">
        <f t="shared" si="1"/>
        <v>13.499999999999996</v>
      </c>
      <c r="H63">
        <v>0.35696032790094567</v>
      </c>
      <c r="J63">
        <f t="shared" si="2"/>
        <v>13.499999999999996</v>
      </c>
      <c r="K63">
        <v>0.27787595640047902</v>
      </c>
    </row>
    <row r="64" spans="1:11" x14ac:dyDescent="0.2">
      <c r="A64">
        <f>Results!F63</f>
        <v>13.999999999999996</v>
      </c>
      <c r="B64">
        <v>0.60976200870317621</v>
      </c>
      <c r="D64">
        <f t="shared" si="0"/>
        <v>13.999999999999996</v>
      </c>
      <c r="E64">
        <v>0.45700627350857986</v>
      </c>
      <c r="G64">
        <f t="shared" si="1"/>
        <v>13.999999999999996</v>
      </c>
      <c r="H64">
        <v>0.37484426406949534</v>
      </c>
      <c r="J64">
        <f t="shared" si="2"/>
        <v>13.999999999999996</v>
      </c>
      <c r="K64">
        <v>0.29112840016685715</v>
      </c>
    </row>
    <row r="65" spans="1:11" x14ac:dyDescent="0.2">
      <c r="A65">
        <f>Results!F64</f>
        <v>14.499999999999996</v>
      </c>
      <c r="B65">
        <v>0.64790050089662188</v>
      </c>
      <c r="D65">
        <f t="shared" si="0"/>
        <v>14.499999999999996</v>
      </c>
      <c r="E65">
        <v>0.48073282257733779</v>
      </c>
      <c r="G65">
        <f t="shared" si="1"/>
        <v>14.499999999999996</v>
      </c>
      <c r="H65">
        <v>0.39285159958100119</v>
      </c>
      <c r="J65">
        <f t="shared" si="2"/>
        <v>14.499999999999996</v>
      </c>
      <c r="K65">
        <v>0.30443635001797498</v>
      </c>
    </row>
    <row r="66" spans="1:11" x14ac:dyDescent="0.2">
      <c r="A66">
        <f>Results!F65</f>
        <v>14.999999999999996</v>
      </c>
      <c r="B66">
        <v>0.68701272998460083</v>
      </c>
      <c r="D66">
        <f t="shared" si="0"/>
        <v>14.999999999999996</v>
      </c>
      <c r="E66">
        <v>0.5047229296368464</v>
      </c>
      <c r="G66">
        <f t="shared" si="1"/>
        <v>14.999999999999996</v>
      </c>
      <c r="H66">
        <v>0.41097317566876101</v>
      </c>
      <c r="J66">
        <f t="shared" si="2"/>
        <v>14.999999999999996</v>
      </c>
      <c r="K66">
        <v>0.31779432667664603</v>
      </c>
    </row>
    <row r="67" spans="1:11" x14ac:dyDescent="0.2">
      <c r="A67">
        <f>Results!F66</f>
        <v>15.499999999999996</v>
      </c>
      <c r="B67">
        <v>0.72708589741385432</v>
      </c>
      <c r="D67">
        <f t="shared" si="0"/>
        <v>15.499999999999996</v>
      </c>
      <c r="E67">
        <v>0.52896340996212565</v>
      </c>
      <c r="G67">
        <f t="shared" si="1"/>
        <v>15.499999999999996</v>
      </c>
      <c r="H67">
        <v>0.42920065294640036</v>
      </c>
      <c r="J67">
        <f t="shared" si="2"/>
        <v>15.499999999999996</v>
      </c>
      <c r="K67">
        <v>0.33119743945436997</v>
      </c>
    </row>
    <row r="68" spans="1:11" x14ac:dyDescent="0.2">
      <c r="A68">
        <f>Results!F67</f>
        <v>15.999999999999996</v>
      </c>
      <c r="B68">
        <v>0.76810740559622748</v>
      </c>
      <c r="D68">
        <f t="shared" si="0"/>
        <v>15.999999999999996</v>
      </c>
      <c r="E68">
        <v>0.55344194662848145</v>
      </c>
      <c r="G68">
        <f t="shared" si="1"/>
        <v>15.999999999999996</v>
      </c>
      <c r="H68">
        <v>0.4475264361586655</v>
      </c>
      <c r="J68">
        <f t="shared" si="2"/>
        <v>15.999999999999996</v>
      </c>
      <c r="K68">
        <v>0.34464132258083474</v>
      </c>
    </row>
    <row r="69" spans="1:11" x14ac:dyDescent="0.2">
      <c r="A69">
        <f>Results!F68</f>
        <v>16.499999999999996</v>
      </c>
      <c r="B69">
        <v>0.81006483973615551</v>
      </c>
      <c r="D69">
        <f t="shared" si="0"/>
        <v>16.499999999999996</v>
      </c>
      <c r="E69">
        <v>0.57814702873078516</v>
      </c>
      <c r="G69">
        <f t="shared" si="1"/>
        <v>16.499999999999996</v>
      </c>
      <c r="H69">
        <v>0.46594360572031013</v>
      </c>
      <c r="J69">
        <f t="shared" si="2"/>
        <v>16.499999999999996</v>
      </c>
      <c r="K69">
        <v>0.35812207838248222</v>
      </c>
    </row>
    <row r="70" spans="1:11" x14ac:dyDescent="0.2">
      <c r="A70">
        <f>Results!F69</f>
        <v>16.999999999999996</v>
      </c>
      <c r="B70">
        <v>0.85294595019605768</v>
      </c>
      <c r="D70">
        <f t="shared" si="0"/>
        <v>16.999999999999996</v>
      </c>
      <c r="E70">
        <v>0.60306789379402737</v>
      </c>
      <c r="G70">
        <f t="shared" si="1"/>
        <v>16.999999999999996</v>
      </c>
      <c r="H70">
        <v>0.48444585542165847</v>
      </c>
      <c r="J70">
        <f t="shared" si="2"/>
        <v>16.999999999999996</v>
      </c>
      <c r="K70">
        <v>0.37163622656669942</v>
      </c>
    </row>
    <row r="71" spans="1:11" x14ac:dyDescent="0.2">
      <c r="A71">
        <f>Results!F70</f>
        <v>17.499999999999996</v>
      </c>
      <c r="B71">
        <v>0.89673863538219245</v>
      </c>
      <c r="D71">
        <f t="shared" ref="D71:D134" si="3">A71</f>
        <v>17.499999999999996</v>
      </c>
      <c r="E71">
        <v>0.62819447408352602</v>
      </c>
      <c r="G71">
        <f t="shared" ref="G71:G134" si="4">A71</f>
        <v>17.499999999999996</v>
      </c>
      <c r="H71">
        <v>0.5030274357365826</v>
      </c>
      <c r="J71">
        <f t="shared" ref="J71:J134" si="5">A71</f>
        <v>17.499999999999996</v>
      </c>
      <c r="K71">
        <v>0.38518065894831305</v>
      </c>
    </row>
    <row r="72" spans="1:11" x14ac:dyDescent="0.2">
      <c r="A72">
        <f>Results!F71</f>
        <v>17.999999999999996</v>
      </c>
      <c r="B72">
        <v>0.94143092513723903</v>
      </c>
      <c r="D72">
        <f t="shared" si="3"/>
        <v>17.999999999999996</v>
      </c>
      <c r="E72">
        <v>0.65351734654515037</v>
      </c>
      <c r="G72">
        <f t="shared" si="4"/>
        <v>17.999999999999996</v>
      </c>
      <c r="H72">
        <v>0.52168310222063752</v>
      </c>
      <c r="J72">
        <f t="shared" si="5"/>
        <v>17.999999999999996</v>
      </c>
      <c r="K72">
        <v>0.39875259902646193</v>
      </c>
    </row>
    <row r="73" spans="1:11" x14ac:dyDescent="0.2">
      <c r="A73">
        <f>Results!F72</f>
        <v>18.499999999999996</v>
      </c>
      <c r="B73">
        <v>0.98701096462959192</v>
      </c>
      <c r="D73">
        <f t="shared" si="3"/>
        <v>18.499999999999996</v>
      </c>
      <c r="E73">
        <v>0.67902768612652209</v>
      </c>
      <c r="G73">
        <f t="shared" si="4"/>
        <v>18.499999999999996</v>
      </c>
      <c r="H73">
        <v>0.54040806853440904</v>
      </c>
      <c r="J73">
        <f t="shared" si="5"/>
        <v>18.499999999999996</v>
      </c>
      <c r="K73">
        <v>0.41234956588352523</v>
      </c>
    </row>
    <row r="74" spans="1:11" x14ac:dyDescent="0.2">
      <c r="A74">
        <f>Results!F73</f>
        <v>18.999999999999996</v>
      </c>
      <c r="B74">
        <v>1.0334669987331122</v>
      </c>
      <c r="D74">
        <f t="shared" si="3"/>
        <v>18.999999999999996</v>
      </c>
      <c r="E74">
        <v>0.70471722224950528</v>
      </c>
      <c r="G74">
        <f t="shared" si="4"/>
        <v>18.999999999999996</v>
      </c>
      <c r="H74">
        <v>0.55919796367022634</v>
      </c>
      <c r="J74">
        <f t="shared" si="5"/>
        <v>18.999999999999996</v>
      </c>
      <c r="K74">
        <v>0.42596934193444908</v>
      </c>
    </row>
    <row r="75" spans="1:11" x14ac:dyDescent="0.2">
      <c r="A75">
        <f>Results!F74</f>
        <v>19.499999999999996</v>
      </c>
      <c r="B75">
        <v>1.0807873568949415</v>
      </c>
      <c r="D75">
        <f t="shared" si="3"/>
        <v>19.499999999999996</v>
      </c>
      <c r="E75">
        <v>0.73057819822252212</v>
      </c>
      <c r="G75">
        <f t="shared" si="4"/>
        <v>19.499999999999996</v>
      </c>
      <c r="H75">
        <v>0.57804879299965639</v>
      </c>
      <c r="J75">
        <f t="shared" si="5"/>
        <v>19.499999999999996</v>
      </c>
      <c r="K75">
        <v>0.4396099441052746</v>
      </c>
    </row>
    <row r="76" spans="1:11" x14ac:dyDescent="0.2">
      <c r="A76">
        <f>Results!F75</f>
        <v>19.999999999999996</v>
      </c>
      <c r="B76">
        <v>1.128960438492943</v>
      </c>
      <c r="D76">
        <f t="shared" si="3"/>
        <v>19.999999999999996</v>
      </c>
      <c r="E76">
        <v>0.75660333339847241</v>
      </c>
      <c r="G76">
        <f t="shared" si="4"/>
        <v>19.999999999999996</v>
      </c>
      <c r="H76">
        <v>0.59695690279501235</v>
      </c>
      <c r="J76">
        <f t="shared" si="5"/>
        <v>19.999999999999996</v>
      </c>
      <c r="K76">
        <v>0.45326959806459605</v>
      </c>
    </row>
    <row r="77" spans="1:11" x14ac:dyDescent="0.2">
      <c r="A77">
        <f>Results!F76</f>
        <v>20.499999999999996</v>
      </c>
      <c r="B77">
        <v>1.1779746986885016</v>
      </c>
      <c r="D77">
        <f t="shared" si="3"/>
        <v>20.499999999999996</v>
      </c>
      <c r="E77">
        <v>0.78278578790036046</v>
      </c>
      <c r="G77">
        <f t="shared" si="4"/>
        <v>20.499999999999996</v>
      </c>
      <c r="H77">
        <v>0.61591894791082502</v>
      </c>
      <c r="J77">
        <f t="shared" si="5"/>
        <v>20.499999999999996</v>
      </c>
      <c r="K77">
        <v>0.46694671517166386</v>
      </c>
    </row>
    <row r="78" spans="1:11" x14ac:dyDescent="0.2">
      <c r="A78">
        <f>Results!F77</f>
        <v>20.999999999999996</v>
      </c>
      <c r="B78">
        <v>1.2278186347847559</v>
      </c>
      <c r="D78">
        <f t="shared" si="3"/>
        <v>20.999999999999996</v>
      </c>
      <c r="E78">
        <v>0.80911912975232225</v>
      </c>
      <c r="G78">
        <f t="shared" si="4"/>
        <v>20.999999999999996</v>
      </c>
      <c r="H78">
        <v>0.6349318623411514</v>
      </c>
      <c r="J78">
        <f t="shared" si="5"/>
        <v>20.999999999999996</v>
      </c>
      <c r="K78">
        <v>0.48063987184042761</v>
      </c>
    </row>
    <row r="79" spans="1:11" x14ac:dyDescent="0.2">
      <c r="A79">
        <f>Results!F78</f>
        <v>21.499999999999996</v>
      </c>
      <c r="B79">
        <v>1.2784807731049899</v>
      </c>
      <c r="D79">
        <f t="shared" si="3"/>
        <v>21.499999999999996</v>
      </c>
      <c r="E79">
        <v>0.83559730426864032</v>
      </c>
      <c r="G79">
        <f t="shared" si="4"/>
        <v>21.499999999999996</v>
      </c>
      <c r="H79">
        <v>0.65399283239600958</v>
      </c>
      <c r="J79">
        <f t="shared" si="5"/>
        <v>21.499999999999996</v>
      </c>
      <c r="K79">
        <v>0.49434779105042431</v>
      </c>
    </row>
    <row r="80" spans="1:11" x14ac:dyDescent="0.2">
      <c r="A80">
        <f>Results!F79</f>
        <v>21.999999999999996</v>
      </c>
      <c r="B80">
        <v>1.3299496564108411</v>
      </c>
      <c r="D80">
        <f t="shared" si="3"/>
        <v>21.999999999999996</v>
      </c>
      <c r="E80">
        <v>0.86221460556770391</v>
      </c>
      <c r="G80">
        <f t="shared" si="4"/>
        <v>21.999999999999996</v>
      </c>
      <c r="H80">
        <v>0.67309927226542254</v>
      </c>
      <c r="J80">
        <f t="shared" si="5"/>
        <v>21.999999999999996</v>
      </c>
      <c r="K80">
        <v>0.50806932576352881</v>
      </c>
    </row>
    <row r="81" spans="1:11" x14ac:dyDescent="0.2">
      <c r="A81">
        <f>Results!F80</f>
        <v>22.499999999999996</v>
      </c>
      <c r="B81">
        <v>1.3822138318853199</v>
      </c>
      <c r="D81">
        <f t="shared" si="3"/>
        <v>22.499999999999996</v>
      </c>
      <c r="E81">
        <v>0.8889656500917843</v>
      </c>
      <c r="G81">
        <f t="shared" si="4"/>
        <v>22.499999999999996</v>
      </c>
      <c r="H81">
        <v>0.6922488017627515</v>
      </c>
      <c r="J81">
        <f t="shared" si="5"/>
        <v>22.499999999999996</v>
      </c>
      <c r="K81">
        <v>0.52180344403051149</v>
      </c>
    </row>
    <row r="82" spans="1:11" x14ac:dyDescent="0.2">
      <c r="A82">
        <f>Results!F81</f>
        <v>22.999999999999996</v>
      </c>
      <c r="B82">
        <v>1.4352618397114019</v>
      </c>
      <c r="D82">
        <f t="shared" si="3"/>
        <v>22.999999999999996</v>
      </c>
      <c r="E82">
        <v>0.91584535202708495</v>
      </c>
      <c r="G82">
        <f t="shared" si="4"/>
        <v>22.999999999999996</v>
      </c>
      <c r="H82">
        <v>0.71143922606045784</v>
      </c>
      <c r="J82">
        <f t="shared" si="5"/>
        <v>22.999999999999996</v>
      </c>
      <c r="K82">
        <v>0.5355492155934618</v>
      </c>
    </row>
    <row r="83" spans="1:11" x14ac:dyDescent="0.2">
      <c r="A83">
        <f>Results!F82</f>
        <v>23.499999999999996</v>
      </c>
      <c r="B83">
        <v>1.4890822022832184</v>
      </c>
      <c r="D83">
        <f t="shared" si="3"/>
        <v>23.499999999999996</v>
      </c>
      <c r="E83">
        <v>0.94284890053188286</v>
      </c>
      <c r="G83">
        <f t="shared" si="4"/>
        <v>23.499999999999996</v>
      </c>
      <c r="H83">
        <v>0.73066851725133053</v>
      </c>
      <c r="J83">
        <f t="shared" si="5"/>
        <v>23.499999999999996</v>
      </c>
      <c r="K83">
        <v>0.54930579980969696</v>
      </c>
    </row>
    <row r="84" spans="1:11" x14ac:dyDescent="0.2">
      <c r="A84">
        <f>Results!F83</f>
        <v>23.999999999999996</v>
      </c>
      <c r="B84">
        <v>1.5436634140937404</v>
      </c>
      <c r="D84">
        <f t="shared" si="3"/>
        <v>23.999999999999996</v>
      </c>
      <c r="E84">
        <v>0.96997173869385456</v>
      </c>
      <c r="G84">
        <f t="shared" si="4"/>
        <v>23.999999999999996</v>
      </c>
      <c r="H84">
        <v>0.7499347975868198</v>
      </c>
      <c r="J84">
        <f t="shared" si="5"/>
        <v>23.999999999999996</v>
      </c>
      <c r="K84">
        <v>0.56307243474006174</v>
      </c>
    </row>
    <row r="85" spans="1:11" x14ac:dyDescent="0.2">
      <c r="A85">
        <f>Results!F84</f>
        <v>24.499999999999996</v>
      </c>
      <c r="B85">
        <v>1.598993932350353</v>
      </c>
      <c r="D85">
        <f t="shared" si="3"/>
        <v>24.499999999999996</v>
      </c>
      <c r="E85">
        <v>0.99720954415093221</v>
      </c>
      <c r="G85">
        <f t="shared" si="4"/>
        <v>24.499999999999996</v>
      </c>
      <c r="H85">
        <v>0.76923632426154132</v>
      </c>
      <c r="J85">
        <f t="shared" si="5"/>
        <v>24.499999999999996</v>
      </c>
      <c r="K85">
        <v>0.57684842725976149</v>
      </c>
    </row>
    <row r="86" spans="1:11" x14ac:dyDescent="0.2">
      <c r="A86">
        <f>Results!F85</f>
        <v>24.999999999999996</v>
      </c>
      <c r="B86">
        <v>1.6550621687540121</v>
      </c>
      <c r="D86">
        <f t="shared" si="3"/>
        <v>24.999999999999996</v>
      </c>
      <c r="E86">
        <v>1.0245582116081624</v>
      </c>
      <c r="G86">
        <f t="shared" si="4"/>
        <v>24.999999999999996</v>
      </c>
      <c r="H86">
        <v>0.78857147585875964</v>
      </c>
      <c r="J86">
        <f t="shared" si="5"/>
        <v>24.999999999999996</v>
      </c>
      <c r="K86">
        <v>0.59063314422647339</v>
      </c>
    </row>
    <row r="87" spans="1:11" x14ac:dyDescent="0.2">
      <c r="A87">
        <f>Results!F86</f>
        <v>25.499999999999996</v>
      </c>
      <c r="B87">
        <v>1.7118564348541532</v>
      </c>
      <c r="D87">
        <f t="shared" si="3"/>
        <v>25.499999999999996</v>
      </c>
      <c r="E87">
        <v>1.0520137973752548</v>
      </c>
      <c r="G87">
        <f t="shared" si="4"/>
        <v>25.499999999999996</v>
      </c>
      <c r="H87">
        <v>0.80793871264550865</v>
      </c>
      <c r="J87">
        <f t="shared" si="5"/>
        <v>25.499999999999996</v>
      </c>
      <c r="K87">
        <v>0.60442598606951214</v>
      </c>
    </row>
    <row r="88" spans="1:11" x14ac:dyDescent="0.2">
      <c r="A88">
        <f>Results!F87</f>
        <v>25.999999999999996</v>
      </c>
      <c r="B88">
        <v>1.7693649953971382</v>
      </c>
      <c r="D88">
        <f t="shared" si="3"/>
        <v>25.999999999999996</v>
      </c>
      <c r="E88">
        <v>1.0795725682632737</v>
      </c>
      <c r="G88">
        <f t="shared" si="4"/>
        <v>25.999999999999996</v>
      </c>
      <c r="H88">
        <v>0.82733661991092977</v>
      </c>
      <c r="J88">
        <f t="shared" si="5"/>
        <v>25.999999999999996</v>
      </c>
      <c r="K88">
        <v>0.61822641698659708</v>
      </c>
    </row>
    <row r="89" spans="1:11" x14ac:dyDescent="0.2">
      <c r="A89">
        <f>Results!F88</f>
        <v>26.499999999999996</v>
      </c>
      <c r="B89">
        <v>1.8275761301528639</v>
      </c>
      <c r="D89">
        <f t="shared" si="3"/>
        <v>26.499999999999996</v>
      </c>
      <c r="E89">
        <v>1.1072310024565724</v>
      </c>
      <c r="G89">
        <f t="shared" si="4"/>
        <v>26.499999999999996</v>
      </c>
      <c r="H89">
        <v>0.84676389795256901</v>
      </c>
      <c r="J89">
        <f t="shared" si="5"/>
        <v>26.499999999999996</v>
      </c>
      <c r="K89">
        <v>0.63203395847397603</v>
      </c>
    </row>
    <row r="90" spans="1:11" x14ac:dyDescent="0.2">
      <c r="A90">
        <f>Results!F89</f>
        <v>26.999999999999996</v>
      </c>
      <c r="B90">
        <v>1.8864781278684295</v>
      </c>
      <c r="D90">
        <f t="shared" si="3"/>
        <v>26.999999999999996</v>
      </c>
      <c r="E90">
        <v>1.1349857758624158</v>
      </c>
      <c r="G90">
        <f t="shared" si="4"/>
        <v>26.999999999999996</v>
      </c>
      <c r="H90">
        <v>0.86621935223840241</v>
      </c>
      <c r="J90">
        <f t="shared" si="5"/>
        <v>26.999999999999996</v>
      </c>
      <c r="K90">
        <v>0.64584818313922221</v>
      </c>
    </row>
    <row r="91" spans="1:11" x14ac:dyDescent="0.2">
      <c r="A91">
        <f>Results!F90</f>
        <v>27.499999999999996</v>
      </c>
      <c r="B91">
        <v>1.9460592793620339</v>
      </c>
      <c r="D91">
        <f t="shared" si="3"/>
        <v>27.499999999999996</v>
      </c>
      <c r="E91">
        <v>1.1628337489948637</v>
      </c>
      <c r="G91">
        <f t="shared" si="4"/>
        <v>27.499999999999996</v>
      </c>
      <c r="H91">
        <v>0.88570188432078678</v>
      </c>
      <c r="J91">
        <f t="shared" si="5"/>
        <v>27.499999999999996</v>
      </c>
      <c r="K91">
        <v>0.65966870917431397</v>
      </c>
    </row>
    <row r="92" spans="1:11" x14ac:dyDescent="0.2">
      <c r="A92">
        <f>Results!F91</f>
        <v>27.999999999999996</v>
      </c>
      <c r="B92">
        <v>2.0063078702340826</v>
      </c>
      <c r="D92">
        <f t="shared" si="3"/>
        <v>27.999999999999996</v>
      </c>
      <c r="E92">
        <v>1.1907719544342965</v>
      </c>
      <c r="G92">
        <f t="shared" si="4"/>
        <v>27.999999999999996</v>
      </c>
      <c r="H92">
        <v>0.90521048344204058</v>
      </c>
      <c r="J92">
        <f t="shared" si="5"/>
        <v>27.999999999999996</v>
      </c>
      <c r="K92">
        <v>0.6734951954174655</v>
      </c>
    </row>
    <row r="93" spans="1:11" x14ac:dyDescent="0.2">
      <c r="A93">
        <f>Results!F92</f>
        <v>28.499999999999996</v>
      </c>
      <c r="B93">
        <v>2.0672121732462627</v>
      </c>
      <c r="D93">
        <f t="shared" si="3"/>
        <v>28.499999999999996</v>
      </c>
      <c r="E93">
        <v>1.2187975848384622</v>
      </c>
      <c r="G93">
        <f t="shared" si="4"/>
        <v>28.499999999999996</v>
      </c>
      <c r="H93">
        <v>0.92474421877547697</v>
      </c>
      <c r="J93">
        <f t="shared" si="5"/>
        <v>28.499999999999996</v>
      </c>
      <c r="K93">
        <v>0.68732733693981773</v>
      </c>
    </row>
    <row r="94" spans="1:11" x14ac:dyDescent="0.2">
      <c r="A94">
        <f>Results!F93</f>
        <v>28.999999999999996</v>
      </c>
      <c r="B94">
        <v>2.1287604404136959</v>
      </c>
      <c r="D94">
        <f t="shared" si="3"/>
        <v>28.999999999999996</v>
      </c>
      <c r="E94">
        <v>1.2469079814800033</v>
      </c>
      <c r="G94">
        <f t="shared" si="4"/>
        <v>28.999999999999996</v>
      </c>
      <c r="H94">
        <v>0.94430223224954479</v>
      </c>
      <c r="J94">
        <f t="shared" si="5"/>
        <v>28.999999999999996</v>
      </c>
      <c r="K94">
        <v>0.7011648610999045</v>
      </c>
    </row>
    <row r="95" spans="1:11" x14ac:dyDescent="0.2">
      <c r="A95">
        <f>Results!F94</f>
        <v>29.499999999999996</v>
      </c>
      <c r="B95">
        <v>2.1909408948502747</v>
      </c>
      <c r="D95">
        <f t="shared" si="3"/>
        <v>29.499999999999996</v>
      </c>
      <c r="E95">
        <v>1.2751006232848057</v>
      </c>
      <c r="G95">
        <f t="shared" si="4"/>
        <v>29.499999999999996</v>
      </c>
      <c r="H95">
        <v>0.96388373190632826</v>
      </c>
      <c r="J95">
        <f t="shared" si="5"/>
        <v>29.499999999999996</v>
      </c>
      <c r="K95">
        <v>0.71500752401485235</v>
      </c>
    </row>
    <row r="96" spans="1:11" x14ac:dyDescent="0.2">
      <c r="A96">
        <f>Results!F95</f>
        <v>29.999999999999996</v>
      </c>
      <c r="B96">
        <v>2.2537417224029404</v>
      </c>
      <c r="D96">
        <f t="shared" si="3"/>
        <v>29.999999999999996</v>
      </c>
      <c r="E96">
        <v>1.3033731163451898</v>
      </c>
      <c r="G96">
        <f t="shared" si="4"/>
        <v>29.999999999999996</v>
      </c>
      <c r="H96">
        <v>0.98348798574902285</v>
      </c>
      <c r="J96">
        <f t="shared" si="5"/>
        <v>29.999999999999996</v>
      </c>
      <c r="K96">
        <v>0.72885510740271375</v>
      </c>
    </row>
    <row r="97" spans="1:11" x14ac:dyDescent="0.2">
      <c r="A97">
        <f>Results!F96</f>
        <v>30.499999999999996</v>
      </c>
      <c r="B97">
        <v>2.3171510631068419</v>
      </c>
      <c r="D97">
        <f t="shared" si="3"/>
        <v>30.499999999999996</v>
      </c>
      <c r="E97">
        <v>1.3317231838818024</v>
      </c>
      <c r="G97">
        <f t="shared" si="4"/>
        <v>30.499999999999996</v>
      </c>
      <c r="H97">
        <v>1.0031143160361005</v>
      </c>
      <c r="J97">
        <f t="shared" si="5"/>
        <v>30.499999999999996</v>
      </c>
      <c r="K97">
        <v>0.74270741575509813</v>
      </c>
    </row>
    <row r="98" spans="1:11" x14ac:dyDescent="0.2">
      <c r="A98">
        <f>Results!F97</f>
        <v>30.999999999999996</v>
      </c>
      <c r="B98">
        <v>2.3811570024899957</v>
      </c>
      <c r="D98">
        <f t="shared" si="3"/>
        <v>30.999999999999996</v>
      </c>
      <c r="E98">
        <v>1.3601486566281511</v>
      </c>
      <c r="G98">
        <f t="shared" si="4"/>
        <v>30.999999999999996</v>
      </c>
      <c r="H98">
        <v>1.0227620939827888</v>
      </c>
      <c r="J98">
        <f t="shared" si="5"/>
        <v>30.999999999999996</v>
      </c>
      <c r="K98">
        <v>0.75656427380357549</v>
      </c>
    </row>
    <row r="99" spans="1:11" x14ac:dyDescent="0.2">
      <c r="A99">
        <f>Results!F98</f>
        <v>31.499999999999996</v>
      </c>
      <c r="B99">
        <v>2.4457475627532257</v>
      </c>
      <c r="D99">
        <f t="shared" si="3"/>
        <v>31.499999999999996</v>
      </c>
      <c r="E99">
        <v>1.388647463611941</v>
      </c>
      <c r="G99">
        <f t="shared" si="4"/>
        <v>31.499999999999996</v>
      </c>
      <c r="H99">
        <v>1.0424307348331856</v>
      </c>
      <c r="J99">
        <f t="shared" si="5"/>
        <v>31.499999999999996</v>
      </c>
      <c r="K99">
        <v>0.77042552424712063</v>
      </c>
    </row>
    <row r="100" spans="1:11" x14ac:dyDescent="0.2">
      <c r="A100">
        <f>Results!F99</f>
        <v>31.999999999999996</v>
      </c>
      <c r="B100">
        <v>2.5109106938487162</v>
      </c>
      <c r="D100">
        <f t="shared" si="3"/>
        <v>31.999999999999996</v>
      </c>
      <c r="E100">
        <v>1.4172176233077087</v>
      </c>
      <c r="G100">
        <f t="shared" si="4"/>
        <v>31.999999999999996</v>
      </c>
      <c r="H100">
        <v>1.0621196932688142</v>
      </c>
      <c r="J100">
        <f t="shared" si="5"/>
        <v>31.999999999999996</v>
      </c>
      <c r="K100">
        <v>0.78429102571124454</v>
      </c>
    </row>
    <row r="101" spans="1:11" x14ac:dyDescent="0.2">
      <c r="A101">
        <f>Results!F100</f>
        <v>32.5</v>
      </c>
      <c r="B101">
        <v>2.5766342644784612</v>
      </c>
      <c r="D101">
        <f t="shared" si="3"/>
        <v>32.5</v>
      </c>
      <c r="E101">
        <v>1.4458572351357575</v>
      </c>
      <c r="G101">
        <f t="shared" si="4"/>
        <v>32.5</v>
      </c>
      <c r="H101">
        <v>1.0818284591217531</v>
      </c>
      <c r="J101">
        <f t="shared" si="5"/>
        <v>32.5</v>
      </c>
      <c r="K101">
        <v>0.79816065091246646</v>
      </c>
    </row>
    <row r="102" spans="1:11" x14ac:dyDescent="0.2">
      <c r="A102">
        <f>Results!F101</f>
        <v>33</v>
      </c>
      <c r="B102">
        <v>2.6429060530321955</v>
      </c>
      <c r="D102">
        <f t="shared" si="3"/>
        <v>33</v>
      </c>
      <c r="E102">
        <v>1.4745644712829427</v>
      </c>
      <c r="G102">
        <f t="shared" si="4"/>
        <v>33</v>
      </c>
      <c r="H102">
        <v>1.1015565533626031</v>
      </c>
      <c r="J102">
        <f t="shared" si="5"/>
        <v>33</v>
      </c>
      <c r="K102">
        <v>0.81203428500443586</v>
      </c>
    </row>
    <row r="103" spans="1:11" x14ac:dyDescent="0.2">
      <c r="A103">
        <f>Results!F102</f>
        <v>33.5</v>
      </c>
      <c r="B103">
        <v>2.7097137384830239</v>
      </c>
      <c r="D103">
        <f t="shared" si="3"/>
        <v>33.5</v>
      </c>
      <c r="E103">
        <v>1.503337568821544</v>
      </c>
      <c r="G103">
        <f t="shared" si="4"/>
        <v>33.5</v>
      </c>
      <c r="H103">
        <v>1.1213035243355547</v>
      </c>
      <c r="J103">
        <f t="shared" si="5"/>
        <v>33.5</v>
      </c>
      <c r="K103">
        <v>0.82591182408436503</v>
      </c>
    </row>
    <row r="104" spans="1:11" x14ac:dyDescent="0.2">
      <c r="A104">
        <f>Results!F103</f>
        <v>34</v>
      </c>
      <c r="B104">
        <v>2.7770448912579009</v>
      </c>
      <c r="D104">
        <f t="shared" si="3"/>
        <v>34</v>
      </c>
      <c r="E104">
        <v>1.5321748221032074</v>
      </c>
      <c r="G104">
        <f t="shared" si="4"/>
        <v>34</v>
      </c>
      <c r="H104">
        <v>1.1410689442146305</v>
      </c>
      <c r="J104">
        <f t="shared" si="5"/>
        <v>34</v>
      </c>
      <c r="K104">
        <v>0.83979317384050811</v>
      </c>
    </row>
    <row r="105" spans="1:11" x14ac:dyDescent="0.2">
      <c r="A105">
        <f>Results!F104</f>
        <v>34.5</v>
      </c>
      <c r="B105">
        <v>2.844886964099349</v>
      </c>
      <c r="D105">
        <f t="shared" si="3"/>
        <v>34.5</v>
      </c>
      <c r="E105">
        <v>1.5610745754057449</v>
      </c>
      <c r="G105">
        <f t="shared" si="4"/>
        <v>34.5</v>
      </c>
      <c r="H105">
        <v>1.1608524056568961</v>
      </c>
      <c r="J105">
        <f t="shared" si="5"/>
        <v>34.5</v>
      </c>
      <c r="K105">
        <v>0.85367824832325045</v>
      </c>
    </row>
    <row r="106" spans="1:11" x14ac:dyDescent="0.2">
      <c r="A106">
        <f>Results!F105</f>
        <v>35</v>
      </c>
      <c r="B106">
        <v>2.9132272829343355</v>
      </c>
      <c r="D106">
        <f t="shared" si="3"/>
        <v>35</v>
      </c>
      <c r="E106">
        <v>1.5900352158115205</v>
      </c>
      <c r="G106">
        <f t="shared" si="4"/>
        <v>35</v>
      </c>
      <c r="H106">
        <v>1.1806535186300031</v>
      </c>
      <c r="J106">
        <f t="shared" si="5"/>
        <v>35</v>
      </c>
      <c r="K106">
        <v>0.86756696882397533</v>
      </c>
    </row>
    <row r="107" spans="1:11" x14ac:dyDescent="0.2">
      <c r="A107">
        <f>Results!F106</f>
        <v>35.5</v>
      </c>
      <c r="B107">
        <v>2.9820530377659793</v>
      </c>
      <c r="D107">
        <f t="shared" si="3"/>
        <v>35.5</v>
      </c>
      <c r="E107">
        <v>1.6190551662970645</v>
      </c>
      <c r="G107">
        <f t="shared" si="4"/>
        <v>35.5</v>
      </c>
      <c r="H107">
        <v>1.2004719073928762</v>
      </c>
      <c r="J107">
        <f t="shared" si="5"/>
        <v>35.5</v>
      </c>
      <c r="K107">
        <v>0.88145926284726317</v>
      </c>
    </row>
    <row r="108" spans="1:11" x14ac:dyDescent="0.2">
      <c r="A108">
        <f>Results!F107</f>
        <v>36</v>
      </c>
      <c r="B108">
        <v>3.0513512736038586</v>
      </c>
      <c r="D108">
        <f t="shared" si="3"/>
        <v>36</v>
      </c>
      <c r="E108">
        <v>1.6481328790146419</v>
      </c>
      <c r="G108">
        <f t="shared" si="4"/>
        <v>36</v>
      </c>
      <c r="H108">
        <v>1.2203072076097259</v>
      </c>
      <c r="J108">
        <f t="shared" si="5"/>
        <v>36</v>
      </c>
      <c r="K108">
        <v>0.89535506316319158</v>
      </c>
    </row>
    <row r="109" spans="1:11" x14ac:dyDescent="0.2">
      <c r="A109">
        <f>Results!F108</f>
        <v>36.5</v>
      </c>
      <c r="B109">
        <v>3.1211088814489947</v>
      </c>
      <c r="D109">
        <f t="shared" si="3"/>
        <v>36.5</v>
      </c>
      <c r="E109">
        <v>1.6772668287476147</v>
      </c>
      <c r="G109">
        <f t="shared" si="4"/>
        <v>36.5</v>
      </c>
      <c r="H109">
        <v>1.2401590635788424</v>
      </c>
      <c r="J109">
        <f t="shared" si="5"/>
        <v>36.5</v>
      </c>
      <c r="K109">
        <v>0.90925430692755316</v>
      </c>
    </row>
    <row r="110" spans="1:11" x14ac:dyDescent="0.2">
      <c r="A110">
        <f>Results!F109</f>
        <v>37</v>
      </c>
      <c r="B110">
        <v>3.1913125893501584</v>
      </c>
      <c r="D110">
        <f t="shared" si="3"/>
        <v>37</v>
      </c>
      <c r="E110">
        <v>1.7064555065226132</v>
      </c>
      <c r="G110">
        <f t="shared" si="4"/>
        <v>37</v>
      </c>
      <c r="H110">
        <v>1.2600271255588011</v>
      </c>
      <c r="J110">
        <f t="shared" si="5"/>
        <v>37</v>
      </c>
      <c r="K110">
        <v>0.92315693485866923</v>
      </c>
    </row>
    <row r="111" spans="1:11" x14ac:dyDescent="0.2">
      <c r="A111">
        <f>Results!F110</f>
        <v>37.5</v>
      </c>
      <c r="B111">
        <v>3.2619489535490676</v>
      </c>
      <c r="D111">
        <f t="shared" si="3"/>
        <v>37.5</v>
      </c>
      <c r="E111">
        <v>1.7356974133628824</v>
      </c>
      <c r="G111">
        <f t="shared" si="4"/>
        <v>37.5</v>
      </c>
      <c r="H111">
        <v>1.2799110471758546</v>
      </c>
      <c r="J111">
        <f t="shared" si="5"/>
        <v>37.5</v>
      </c>
      <c r="K111">
        <v>0.93706289046023228</v>
      </c>
    </row>
    <row r="112" spans="1:11" x14ac:dyDescent="0.2">
      <c r="A112">
        <f>Results!F111</f>
        <v>38</v>
      </c>
      <c r="B112">
        <v>3.3330043497331339</v>
      </c>
      <c r="D112">
        <f t="shared" si="3"/>
        <v>38</v>
      </c>
      <c r="E112">
        <v>1.7649910541685265</v>
      </c>
      <c r="G112">
        <f t="shared" si="4"/>
        <v>38</v>
      </c>
      <c r="H112">
        <v>1.2998104828973494</v>
      </c>
      <c r="J112">
        <f t="shared" si="5"/>
        <v>38</v>
      </c>
      <c r="K112">
        <v>0.95097211928019565</v>
      </c>
    </row>
    <row r="113" spans="1:11" x14ac:dyDescent="0.2">
      <c r="A113">
        <f>Results!F112</f>
        <v>38.5</v>
      </c>
      <c r="B113">
        <v>3.4044649644158849</v>
      </c>
      <c r="D113">
        <f t="shared" si="3"/>
        <v>38.5</v>
      </c>
      <c r="E113">
        <v>1.7943349317109403</v>
      </c>
      <c r="G113">
        <f t="shared" si="4"/>
        <v>38.5</v>
      </c>
      <c r="H113">
        <v>1.3197250855570568</v>
      </c>
      <c r="J113">
        <f t="shared" si="5"/>
        <v>38.5</v>
      </c>
      <c r="K113">
        <v>0.9648845681962096</v>
      </c>
    </row>
    <row r="114" spans="1:11" x14ac:dyDescent="0.2">
      <c r="A114">
        <f>Results!F113</f>
        <v>39</v>
      </c>
      <c r="B114">
        <v>3.4763167864669859</v>
      </c>
      <c r="D114">
        <f t="shared" si="3"/>
        <v>39</v>
      </c>
      <c r="E114">
        <v>1.8237275407303692</v>
      </c>
      <c r="G114">
        <f t="shared" si="4"/>
        <v>39</v>
      </c>
      <c r="H114">
        <v>1.3396545039192875</v>
      </c>
      <c r="J114">
        <f t="shared" si="5"/>
        <v>39</v>
      </c>
      <c r="K114">
        <v>0.97880018471844188</v>
      </c>
    </row>
    <row r="115" spans="1:11" x14ac:dyDescent="0.2">
      <c r="A115">
        <f>Results!F114</f>
        <v>39.5</v>
      </c>
      <c r="B115">
        <v>3.5485455988157852</v>
      </c>
      <c r="D115">
        <f t="shared" si="3"/>
        <v>39.5</v>
      </c>
      <c r="E115">
        <v>1.853167362127371</v>
      </c>
      <c r="G115">
        <f t="shared" si="4"/>
        <v>39.5</v>
      </c>
      <c r="H115">
        <v>1.3595983802697273</v>
      </c>
      <c r="J115">
        <f t="shared" si="5"/>
        <v>39.5</v>
      </c>
      <c r="K115">
        <v>0.9927189163008715</v>
      </c>
    </row>
    <row r="116" spans="1:11" x14ac:dyDescent="0.2">
      <c r="A116">
        <f>Results!F115</f>
        <v>40</v>
      </c>
      <c r="B116">
        <v>3.6211369703548515</v>
      </c>
      <c r="D116">
        <f t="shared" si="3"/>
        <v>40</v>
      </c>
      <c r="E116">
        <v>1.8826528572409704</v>
      </c>
      <c r="G116">
        <f t="shared" si="4"/>
        <v>40</v>
      </c>
      <c r="H116">
        <v>1.3795563480218733</v>
      </c>
      <c r="J116">
        <f t="shared" si="5"/>
        <v>40</v>
      </c>
      <c r="K116">
        <v>1.0066407096522267</v>
      </c>
    </row>
    <row r="117" spans="1:11" x14ac:dyDescent="0.2">
      <c r="A117">
        <f>Results!F116</f>
        <v>40.5</v>
      </c>
      <c r="B117">
        <v>3.6940762480727392</v>
      </c>
      <c r="D117">
        <f t="shared" si="3"/>
        <v>40.5</v>
      </c>
      <c r="E117">
        <v>1.9121824622085417</v>
      </c>
      <c r="G117">
        <f t="shared" si="4"/>
        <v>40.5</v>
      </c>
      <c r="H117">
        <v>1.3995280293290517</v>
      </c>
      <c r="J117">
        <f t="shared" si="5"/>
        <v>40.5</v>
      </c>
      <c r="K117">
        <v>1.0205655100377862</v>
      </c>
    </row>
    <row r="118" spans="1:11" x14ac:dyDescent="0.2">
      <c r="A118">
        <f>Results!F117</f>
        <v>41</v>
      </c>
      <c r="B118">
        <v>3.7673485494484935</v>
      </c>
      <c r="D118">
        <f t="shared" si="3"/>
        <v>41</v>
      </c>
      <c r="E118">
        <v>1.9417545824048947</v>
      </c>
      <c r="G118">
        <f t="shared" si="4"/>
        <v>41</v>
      </c>
      <c r="H118">
        <v>1.4195130326930525</v>
      </c>
      <c r="J118">
        <f t="shared" si="5"/>
        <v>41</v>
      </c>
      <c r="K118">
        <v>1.0344932605631167</v>
      </c>
    </row>
    <row r="119" spans="1:11" x14ac:dyDescent="0.2">
      <c r="A119">
        <f>Results!F118</f>
        <v>41.5</v>
      </c>
      <c r="B119">
        <v>3.8409387551441516</v>
      </c>
      <c r="D119">
        <f t="shared" si="3"/>
        <v>41.5</v>
      </c>
      <c r="E119">
        <v>1.9713675869608633</v>
      </c>
      <c r="G119">
        <f t="shared" si="4"/>
        <v>41.5</v>
      </c>
      <c r="H119">
        <v>1.439510950561613</v>
      </c>
      <c r="J119">
        <f t="shared" si="5"/>
        <v>41.5</v>
      </c>
      <c r="K119">
        <v>1.0484239014306256</v>
      </c>
    </row>
    <row r="120" spans="1:11" x14ac:dyDescent="0.2">
      <c r="A120">
        <f>Results!F119</f>
        <v>42</v>
      </c>
      <c r="B120">
        <v>3.9148315020356272</v>
      </c>
      <c r="D120">
        <f t="shared" si="3"/>
        <v>42</v>
      </c>
      <c r="E120">
        <v>2.001019803364708</v>
      </c>
      <c r="G120">
        <f t="shared" si="4"/>
        <v>42</v>
      </c>
      <c r="H120">
        <v>1.4595213569081933</v>
      </c>
      <c r="J120">
        <f t="shared" si="5"/>
        <v>42</v>
      </c>
      <c r="K120">
        <v>1.0623573691594426</v>
      </c>
    </row>
    <row r="121" spans="1:11" x14ac:dyDescent="0.2">
      <c r="A121">
        <f>Results!F120</f>
        <v>42.5</v>
      </c>
      <c r="B121">
        <v>3.9890111766272729</v>
      </c>
      <c r="D121">
        <f t="shared" si="3"/>
        <v>42.5</v>
      </c>
      <c r="E121">
        <v>2.0307095121531562</v>
      </c>
      <c r="G121">
        <f t="shared" si="4"/>
        <v>42.5</v>
      </c>
      <c r="H121">
        <v>1.4795438047889058</v>
      </c>
      <c r="J121">
        <f t="shared" si="5"/>
        <v>42.5</v>
      </c>
      <c r="K121">
        <v>1.0762935957587214</v>
      </c>
    </row>
    <row r="122" spans="1:11" x14ac:dyDescent="0.2">
      <c r="A122">
        <f>Results!F121</f>
        <v>43</v>
      </c>
      <c r="B122">
        <v>4.0634619089006749</v>
      </c>
      <c r="D122">
        <f t="shared" si="3"/>
        <v>43</v>
      </c>
      <c r="E122">
        <v>2.060434941702793</v>
      </c>
      <c r="G122">
        <f t="shared" si="4"/>
        <v>43</v>
      </c>
      <c r="H122">
        <v>1.4995778238729924</v>
      </c>
      <c r="J122">
        <f t="shared" si="5"/>
        <v>43</v>
      </c>
      <c r="K122">
        <v>1.0902325078438297</v>
      </c>
    </row>
    <row r="123" spans="1:11" x14ac:dyDescent="0.2">
      <c r="A123">
        <f>Results!F122</f>
        <v>43.5</v>
      </c>
      <c r="B123">
        <v>4.1381675666544195</v>
      </c>
      <c r="D123">
        <f t="shared" si="3"/>
        <v>43.5</v>
      </c>
      <c r="E123">
        <v>2.0901942631368327</v>
      </c>
      <c r="G123">
        <f t="shared" si="4"/>
        <v>43.5</v>
      </c>
      <c r="H123">
        <v>1.5196229179449225</v>
      </c>
      <c r="J123">
        <f t="shared" si="5"/>
        <v>43.5</v>
      </c>
      <c r="K123">
        <v>1.1041740256841999</v>
      </c>
    </row>
    <row r="124" spans="1:11" x14ac:dyDescent="0.2">
      <c r="A124">
        <f>Results!F123</f>
        <v>44</v>
      </c>
      <c r="B124">
        <v>4.2131117503982898</v>
      </c>
      <c r="D124">
        <f t="shared" si="3"/>
        <v>44</v>
      </c>
      <c r="E124">
        <v>2.1199855853673002</v>
      </c>
      <c r="G124">
        <f t="shared" si="4"/>
        <v>44</v>
      </c>
      <c r="H124">
        <v>1.5396785623782001</v>
      </c>
      <c r="J124">
        <f t="shared" si="5"/>
        <v>44</v>
      </c>
      <c r="K124">
        <v>1.1181180621707481</v>
      </c>
    </row>
    <row r="125" spans="1:11" x14ac:dyDescent="0.2">
      <c r="A125">
        <f>Results!F124</f>
        <v>44.5</v>
      </c>
      <c r="B125">
        <v>4.2882777888731525</v>
      </c>
      <c r="D125">
        <f t="shared" si="3"/>
        <v>44.5</v>
      </c>
      <c r="E125">
        <v>2.1498069502981827</v>
      </c>
      <c r="G125">
        <f t="shared" si="4"/>
        <v>44.5</v>
      </c>
      <c r="H125">
        <v>1.5597442015831409</v>
      </c>
      <c r="J125">
        <f t="shared" si="5"/>
        <v>44.5</v>
      </c>
      <c r="K125">
        <v>1.1320645216897562</v>
      </c>
    </row>
    <row r="126" spans="1:11" x14ac:dyDescent="0.2">
      <c r="A126">
        <f>Results!F125</f>
        <v>45</v>
      </c>
      <c r="B126">
        <v>4.3636487352762794</v>
      </c>
      <c r="D126">
        <f t="shared" si="3"/>
        <v>45</v>
      </c>
      <c r="E126">
        <v>2.1796563282213643</v>
      </c>
      <c r="G126">
        <f t="shared" si="4"/>
        <v>45</v>
      </c>
      <c r="H126">
        <v>1.5798192464334426</v>
      </c>
      <c r="J126">
        <f t="shared" si="5"/>
        <v>45</v>
      </c>
      <c r="K126">
        <v>1.1460132988889227</v>
      </c>
    </row>
    <row r="127" spans="1:11" x14ac:dyDescent="0.2">
      <c r="A127">
        <f>Results!F126</f>
        <v>45.5</v>
      </c>
      <c r="B127">
        <v>4.4392073642815699</v>
      </c>
      <c r="D127">
        <f t="shared" si="3"/>
        <v>45.5</v>
      </c>
      <c r="E127">
        <v>2.2095316134443181</v>
      </c>
      <c r="G127">
        <f t="shared" si="4"/>
        <v>45.5</v>
      </c>
      <c r="H127">
        <v>1.5999030716792897</v>
      </c>
      <c r="J127">
        <f t="shared" si="5"/>
        <v>45.5</v>
      </c>
      <c r="K127">
        <v>1.1599642773199361</v>
      </c>
    </row>
    <row r="128" spans="1:11" x14ac:dyDescent="0.2">
      <c r="A128">
        <f>Results!F127</f>
        <v>46</v>
      </c>
      <c r="B128">
        <v>4.514936169954944</v>
      </c>
      <c r="D128">
        <f t="shared" si="3"/>
        <v>46</v>
      </c>
      <c r="E128">
        <v>2.2394306201964893</v>
      </c>
      <c r="G128">
        <f t="shared" si="4"/>
        <v>46</v>
      </c>
      <c r="H128">
        <v>1.6199950133581165</v>
      </c>
      <c r="J128">
        <f t="shared" si="5"/>
        <v>46</v>
      </c>
      <c r="K128">
        <v>1.1739173279403623</v>
      </c>
    </row>
    <row r="129" spans="1:11" x14ac:dyDescent="0.2">
      <c r="A129">
        <f>Results!F128</f>
        <v>46.5</v>
      </c>
      <c r="B129">
        <v>4.5908173646772719</v>
      </c>
      <c r="D129">
        <f t="shared" si="3"/>
        <v>46.5</v>
      </c>
      <c r="E129">
        <v>2.2693510788704208</v>
      </c>
      <c r="G129">
        <f t="shared" si="4"/>
        <v>46.5</v>
      </c>
      <c r="H129">
        <v>1.640094366218001</v>
      </c>
      <c r="J129">
        <f t="shared" si="5"/>
        <v>46.5</v>
      </c>
      <c r="K129">
        <v>1.1878723074558615</v>
      </c>
    </row>
    <row r="130" spans="1:11" x14ac:dyDescent="0.2">
      <c r="A130">
        <f>Results!F129</f>
        <v>47</v>
      </c>
      <c r="B130">
        <v>4.6668328792007401</v>
      </c>
      <c r="D130">
        <f t="shared" si="3"/>
        <v>47</v>
      </c>
      <c r="E130">
        <v>2.2992906326639018</v>
      </c>
      <c r="G130">
        <f t="shared" si="4"/>
        <v>47</v>
      </c>
      <c r="H130">
        <v>1.6602003811731576</v>
      </c>
      <c r="J130">
        <f t="shared" si="5"/>
        <v>47</v>
      </c>
      <c r="K130">
        <v>1.2018290564817296</v>
      </c>
    </row>
    <row r="131" spans="1:11" x14ac:dyDescent="0.2">
      <c r="A131">
        <f>Results!F130</f>
        <v>47.5</v>
      </c>
      <c r="B131">
        <v>4.7429643639798273</v>
      </c>
      <c r="D131">
        <f t="shared" si="3"/>
        <v>47.5</v>
      </c>
      <c r="E131">
        <v>2.3292468347010256</v>
      </c>
      <c r="G131">
        <f t="shared" si="4"/>
        <v>47.5</v>
      </c>
      <c r="H131">
        <v>1.6803122628161657</v>
      </c>
      <c r="J131">
        <f t="shared" si="5"/>
        <v>47.5</v>
      </c>
      <c r="K131">
        <v>1.2157873975004854</v>
      </c>
    </row>
    <row r="132" spans="1:11" x14ac:dyDescent="0.2">
      <c r="A132">
        <f>Results!F131</f>
        <v>48</v>
      </c>
      <c r="B132">
        <v>4.8191931919348692</v>
      </c>
      <c r="D132">
        <f t="shared" si="3"/>
        <v>48</v>
      </c>
      <c r="E132">
        <v>2.3592171457231763</v>
      </c>
      <c r="G132">
        <f t="shared" si="4"/>
        <v>48</v>
      </c>
      <c r="H132">
        <v>1.7004291670175062</v>
      </c>
      <c r="J132">
        <f t="shared" si="5"/>
        <v>48</v>
      </c>
      <c r="K132">
        <v>1.2297471325896312</v>
      </c>
    </row>
    <row r="133" spans="1:11" x14ac:dyDescent="0.2">
      <c r="A133">
        <f>Results!F132</f>
        <v>48.5</v>
      </c>
      <c r="B133">
        <v>4.8955004628253711</v>
      </c>
      <c r="D133">
        <f t="shared" si="3"/>
        <v>48.5</v>
      </c>
      <c r="E133">
        <v>2.3891989324557454</v>
      </c>
      <c r="G133">
        <f t="shared" si="4"/>
        <v>48.5</v>
      </c>
      <c r="H133">
        <v>1.7205501986498761</v>
      </c>
      <c r="J133">
        <f t="shared" si="5"/>
        <v>48.5</v>
      </c>
      <c r="K133">
        <v>1.2437080408908308</v>
      </c>
    </row>
    <row r="134" spans="1:11" x14ac:dyDescent="0.2">
      <c r="A134">
        <f>Results!F133</f>
        <v>49</v>
      </c>
      <c r="B134">
        <v>4.971867009431338</v>
      </c>
      <c r="D134">
        <f t="shared" si="3"/>
        <v>49</v>
      </c>
      <c r="E134">
        <v>2.4191894667731932</v>
      </c>
      <c r="G134">
        <f t="shared" si="4"/>
        <v>49</v>
      </c>
      <c r="H134">
        <v>1.7406744094826652</v>
      </c>
      <c r="J134">
        <f t="shared" si="5"/>
        <v>49</v>
      </c>
      <c r="K134">
        <v>1.2576698757884726</v>
      </c>
    </row>
    <row r="135" spans="1:11" x14ac:dyDescent="0.2">
      <c r="A135">
        <f>Results!F134</f>
        <v>49.5</v>
      </c>
      <c r="B135">
        <v>5.048273405764701</v>
      </c>
      <c r="D135">
        <f t="shared" ref="D135" si="6">A135</f>
        <v>49.5</v>
      </c>
      <c r="E135">
        <v>2.4491859258039432</v>
      </c>
      <c r="G135">
        <f t="shared" ref="G135" si="7">A135</f>
        <v>49.5</v>
      </c>
      <c r="H135">
        <v>1.7608007963010885</v>
      </c>
      <c r="J135">
        <f t="shared" ref="J135" si="8">A135</f>
        <v>49.5</v>
      </c>
      <c r="K135">
        <v>1.2716323617619012</v>
      </c>
    </row>
    <row r="136" spans="1:11" ht="12.75" customHeight="1" x14ac:dyDescent="0.2">
      <c r="A136">
        <f>Results!F135</f>
        <v>50</v>
      </c>
      <c r="B136">
        <v>5.1246999775595157</v>
      </c>
      <c r="D136">
        <f>A136</f>
        <v>50</v>
      </c>
      <c r="E136">
        <v>2.4791853931380041</v>
      </c>
      <c r="G136">
        <f>A136</f>
        <v>50</v>
      </c>
      <c r="H136">
        <v>1.7809282993149833</v>
      </c>
      <c r="J136">
        <f>A136</f>
        <v>50</v>
      </c>
      <c r="K136">
        <v>1.285595190871506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35"/>
  <sheetViews>
    <sheetView zoomScale="70" zoomScaleNormal="70" workbookViewId="0">
      <selection activeCell="F51" sqref="F51"/>
    </sheetView>
  </sheetViews>
  <sheetFormatPr defaultRowHeight="12.75" x14ac:dyDescent="0.2"/>
  <cols>
    <col min="1" max="1" width="19.7109375" customWidth="1"/>
    <col min="3" max="3" width="10.85546875" bestFit="1" customWidth="1"/>
    <col min="5" max="5" width="3.85546875" customWidth="1"/>
    <col min="6" max="6" width="20.28515625" customWidth="1"/>
    <col min="8" max="8" width="11.28515625" customWidth="1"/>
    <col min="10" max="10" width="3.42578125" customWidth="1"/>
    <col min="11" max="11" width="20.140625" customWidth="1"/>
    <col min="13" max="13" width="11.28515625" customWidth="1"/>
    <col min="15" max="15" width="3.85546875" customWidth="1"/>
    <col min="16" max="16" width="20.140625" customWidth="1"/>
    <col min="18" max="18" width="11.42578125" customWidth="1"/>
    <col min="19" max="19" width="9.7109375" customWidth="1"/>
    <col min="20" max="20" width="3.85546875" customWidth="1"/>
    <col min="21" max="21" width="21.140625" customWidth="1"/>
    <col min="23" max="23" width="10.7109375" customWidth="1"/>
  </cols>
  <sheetData>
    <row r="1" spans="1:29" x14ac:dyDescent="0.2">
      <c r="A1" s="4" t="s">
        <v>88</v>
      </c>
      <c r="B1" s="15">
        <v>3865.1400072177894</v>
      </c>
      <c r="F1" s="4" t="s">
        <v>88</v>
      </c>
      <c r="G1" s="15">
        <v>343.35195699756673</v>
      </c>
      <c r="K1" s="4" t="s">
        <v>88</v>
      </c>
      <c r="L1" s="15">
        <v>1517.2840798604873</v>
      </c>
      <c r="P1" s="4" t="s">
        <v>88</v>
      </c>
      <c r="Q1" s="15">
        <v>2691.2042088199705</v>
      </c>
      <c r="U1" s="4" t="s">
        <v>88</v>
      </c>
      <c r="V1" s="15">
        <v>3865.1474458911512</v>
      </c>
    </row>
    <row r="2" spans="1:29" x14ac:dyDescent="0.2">
      <c r="A2" s="4" t="s">
        <v>89</v>
      </c>
      <c r="B2" s="16">
        <v>6.4477868638550498E-2</v>
      </c>
      <c r="F2" s="4" t="s">
        <v>89</v>
      </c>
      <c r="G2" s="15">
        <v>625.37207057894614</v>
      </c>
      <c r="I2" s="2"/>
      <c r="J2" s="2"/>
      <c r="K2" s="4" t="s">
        <v>89</v>
      </c>
      <c r="L2" s="15">
        <v>691.92525905883497</v>
      </c>
      <c r="P2" s="4" t="s">
        <v>89</v>
      </c>
      <c r="Q2" s="15">
        <v>758.52175225021131</v>
      </c>
      <c r="U2" s="4" t="s">
        <v>89</v>
      </c>
      <c r="V2" s="15">
        <v>824.80984716282342</v>
      </c>
    </row>
    <row r="4" spans="1:29" x14ac:dyDescent="0.2">
      <c r="A4" s="17" t="s">
        <v>87</v>
      </c>
      <c r="B4" s="17" t="s">
        <v>85</v>
      </c>
      <c r="C4" s="17" t="s">
        <v>87</v>
      </c>
      <c r="D4" s="17" t="s">
        <v>86</v>
      </c>
      <c r="E4" s="18"/>
      <c r="F4" s="17" t="s">
        <v>87</v>
      </c>
      <c r="G4" s="17" t="s">
        <v>85</v>
      </c>
      <c r="H4" s="17" t="s">
        <v>87</v>
      </c>
      <c r="I4" s="17" t="s">
        <v>86</v>
      </c>
      <c r="J4" s="18"/>
      <c r="K4" s="17" t="s">
        <v>87</v>
      </c>
      <c r="L4" s="17" t="s">
        <v>85</v>
      </c>
      <c r="M4" s="17" t="s">
        <v>87</v>
      </c>
      <c r="N4" s="17" t="s">
        <v>86</v>
      </c>
      <c r="O4" s="18"/>
      <c r="P4" s="17" t="s">
        <v>87</v>
      </c>
      <c r="Q4" s="17" t="s">
        <v>85</v>
      </c>
      <c r="R4" s="17" t="s">
        <v>87</v>
      </c>
      <c r="S4" s="17" t="s">
        <v>86</v>
      </c>
      <c r="T4" s="17"/>
      <c r="U4" s="17" t="s">
        <v>87</v>
      </c>
      <c r="V4" s="17" t="s">
        <v>85</v>
      </c>
      <c r="W4" s="17" t="s">
        <v>87</v>
      </c>
      <c r="X4" s="17" t="s">
        <v>86</v>
      </c>
      <c r="Y4" s="3"/>
      <c r="Z4" s="3"/>
      <c r="AA4" s="3"/>
    </row>
    <row r="5" spans="1:29" x14ac:dyDescent="0.2">
      <c r="A5" s="19">
        <v>0</v>
      </c>
      <c r="B5" s="19">
        <v>-0.14044941773904354</v>
      </c>
      <c r="C5" s="19">
        <v>0</v>
      </c>
      <c r="D5" s="19">
        <v>6.0954564661621458</v>
      </c>
      <c r="E5" s="20"/>
      <c r="F5" s="19">
        <v>0</v>
      </c>
      <c r="G5" s="18">
        <v>-0.14044941773904354</v>
      </c>
      <c r="H5" s="18">
        <v>0</v>
      </c>
      <c r="I5" s="19">
        <v>6.0954564661621458</v>
      </c>
      <c r="J5" s="20"/>
      <c r="K5" s="18">
        <v>0</v>
      </c>
      <c r="L5" s="19">
        <v>-0.14044941773904354</v>
      </c>
      <c r="M5" s="19">
        <v>0</v>
      </c>
      <c r="N5" s="18">
        <v>6.0954564661621458</v>
      </c>
      <c r="O5" s="21"/>
      <c r="P5" s="19">
        <v>0</v>
      </c>
      <c r="Q5" s="19">
        <v>-0.14044941773904354</v>
      </c>
      <c r="R5" s="19">
        <v>0</v>
      </c>
      <c r="S5" s="19">
        <v>6.0954564661621458</v>
      </c>
      <c r="T5" s="19"/>
      <c r="U5" s="18">
        <v>0</v>
      </c>
      <c r="V5" s="19">
        <v>-0.14044941773904354</v>
      </c>
      <c r="W5" s="18">
        <v>0</v>
      </c>
      <c r="X5" s="18">
        <v>6.0954564661621458</v>
      </c>
      <c r="Y5" s="2"/>
      <c r="AB5" s="4"/>
      <c r="AC5" s="4"/>
    </row>
    <row r="6" spans="1:29" x14ac:dyDescent="0.2">
      <c r="A6" s="18">
        <v>0.2</v>
      </c>
      <c r="B6" s="18">
        <v>-0.14642124220569216</v>
      </c>
      <c r="C6" s="18">
        <v>0.2</v>
      </c>
      <c r="D6" s="18">
        <v>5.8954231088275897</v>
      </c>
      <c r="E6" s="20"/>
      <c r="F6" s="18">
        <v>0.2</v>
      </c>
      <c r="G6" s="18">
        <v>-0.14670529086924131</v>
      </c>
      <c r="H6" s="18">
        <v>0.2</v>
      </c>
      <c r="I6" s="18">
        <v>5.8955434509026308</v>
      </c>
      <c r="J6" s="20"/>
      <c r="K6" s="18">
        <v>0.2</v>
      </c>
      <c r="L6" s="18">
        <v>-0.14673704608553928</v>
      </c>
      <c r="M6" s="18">
        <v>0.2</v>
      </c>
      <c r="N6" s="18">
        <v>5.8955072219695621</v>
      </c>
      <c r="O6" s="20"/>
      <c r="P6" s="18">
        <v>0.2</v>
      </c>
      <c r="Q6" s="18">
        <v>-0.1467688324248109</v>
      </c>
      <c r="R6" s="18">
        <v>0.2</v>
      </c>
      <c r="S6" s="18">
        <v>5.8954709992719012</v>
      </c>
      <c r="T6" s="18"/>
      <c r="U6" s="18">
        <v>0.2</v>
      </c>
      <c r="V6" s="18">
        <v>-0.14680048823090597</v>
      </c>
      <c r="W6" s="18">
        <v>0.2</v>
      </c>
      <c r="X6" s="18">
        <v>5.8954347759813217</v>
      </c>
    </row>
    <row r="7" spans="1:29" x14ac:dyDescent="0.2">
      <c r="A7" s="18">
        <v>0.4</v>
      </c>
      <c r="B7" s="18">
        <v>-0.15239317453398685</v>
      </c>
      <c r="C7" s="18">
        <v>0.4</v>
      </c>
      <c r="D7" s="18">
        <v>5.6953897740331678</v>
      </c>
      <c r="E7" s="20"/>
      <c r="F7" s="18">
        <v>0.4</v>
      </c>
      <c r="G7" s="18">
        <v>-0.15352653028502525</v>
      </c>
      <c r="H7" s="18">
        <v>0.4</v>
      </c>
      <c r="I7" s="18">
        <v>5.6956489427095978</v>
      </c>
      <c r="J7" s="20"/>
      <c r="K7" s="18">
        <v>0.4</v>
      </c>
      <c r="L7" s="18">
        <v>-0.15363763611067954</v>
      </c>
      <c r="M7" s="18">
        <v>0.4</v>
      </c>
      <c r="N7" s="18">
        <v>5.6955782009461835</v>
      </c>
      <c r="O7" s="20"/>
      <c r="P7" s="18">
        <v>0.4</v>
      </c>
      <c r="Q7" s="18">
        <v>-0.1537519504830327</v>
      </c>
      <c r="R7" s="18">
        <v>0.4</v>
      </c>
      <c r="S7" s="18">
        <v>5.6955076080542852</v>
      </c>
      <c r="T7" s="18"/>
      <c r="U7" s="18">
        <v>0.4</v>
      </c>
      <c r="V7" s="18">
        <v>-0.15386625309196902</v>
      </c>
      <c r="W7" s="18">
        <v>0.4</v>
      </c>
      <c r="X7" s="18">
        <v>5.695437050119585</v>
      </c>
    </row>
    <row r="8" spans="1:29" x14ac:dyDescent="0.2">
      <c r="A8" s="18">
        <v>0.60000000000000009</v>
      </c>
      <c r="B8" s="18">
        <v>-0.15836526077512356</v>
      </c>
      <c r="C8" s="18">
        <v>0.60000000000000009</v>
      </c>
      <c r="D8" s="18">
        <v>5.495356463153815</v>
      </c>
      <c r="E8" s="20"/>
      <c r="F8" s="18">
        <v>0.60000000000000009</v>
      </c>
      <c r="G8" s="18">
        <v>-0.16090384546948791</v>
      </c>
      <c r="H8" s="18">
        <v>0.60000000000000009</v>
      </c>
      <c r="I8" s="18">
        <v>5.4957741995187863</v>
      </c>
      <c r="J8" s="20"/>
      <c r="K8" s="18">
        <v>0.60000000000000009</v>
      </c>
      <c r="L8" s="18">
        <v>-0.16112887982688559</v>
      </c>
      <c r="M8" s="18">
        <v>0.60000000000000009</v>
      </c>
      <c r="N8" s="18">
        <v>5.4956704482677674</v>
      </c>
      <c r="O8" s="20"/>
      <c r="P8" s="18">
        <v>0.60000000000000009</v>
      </c>
      <c r="Q8" s="18">
        <v>-0.16136664045058807</v>
      </c>
      <c r="R8" s="18">
        <v>0.60000000000000009</v>
      </c>
      <c r="S8" s="18">
        <v>5.4955672735870147</v>
      </c>
      <c r="T8" s="18"/>
      <c r="U8" s="18">
        <v>0.60000000000000009</v>
      </c>
      <c r="V8" s="18">
        <v>-0.16160537848941112</v>
      </c>
      <c r="W8" s="18">
        <v>0.60000000000000009</v>
      </c>
      <c r="X8" s="18">
        <v>5.4954642447450484</v>
      </c>
    </row>
    <row r="9" spans="1:29" x14ac:dyDescent="0.2">
      <c r="A9" s="18">
        <v>0.8</v>
      </c>
      <c r="B9" s="18">
        <v>-0.16433754405705031</v>
      </c>
      <c r="C9" s="18">
        <v>0.8</v>
      </c>
      <c r="D9" s="18">
        <v>5.295323177477294</v>
      </c>
      <c r="E9" s="20"/>
      <c r="F9" s="18">
        <v>0.8</v>
      </c>
      <c r="G9" s="18">
        <v>-0.1688281152661196</v>
      </c>
      <c r="H9" s="18">
        <v>0.8</v>
      </c>
      <c r="I9" s="18">
        <v>5.2959204087982741</v>
      </c>
      <c r="J9" s="20"/>
      <c r="K9" s="18">
        <v>0.8</v>
      </c>
      <c r="L9" s="18">
        <v>-0.16918929086330609</v>
      </c>
      <c r="M9" s="18">
        <v>0.8</v>
      </c>
      <c r="N9" s="18">
        <v>5.2957848447539728</v>
      </c>
      <c r="O9" s="20"/>
      <c r="P9" s="18">
        <v>0.8</v>
      </c>
      <c r="Q9" s="18">
        <v>-0.16958233465469669</v>
      </c>
      <c r="R9" s="18">
        <v>0.8</v>
      </c>
      <c r="S9" s="18">
        <v>5.2956507368502495</v>
      </c>
      <c r="T9" s="18"/>
      <c r="U9" s="18">
        <v>0.8</v>
      </c>
      <c r="V9" s="18">
        <v>-0.16997892849404128</v>
      </c>
      <c r="W9" s="18">
        <v>0.8</v>
      </c>
      <c r="X9" s="18">
        <v>5.2955169988604762</v>
      </c>
    </row>
    <row r="10" spans="1:29" x14ac:dyDescent="0.2">
      <c r="A10" s="18">
        <v>1</v>
      </c>
      <c r="B10" s="18">
        <v>-0.17031006473757815</v>
      </c>
      <c r="C10" s="18">
        <v>1</v>
      </c>
      <c r="D10" s="18">
        <v>5.0952899182087847</v>
      </c>
      <c r="E10" s="20"/>
      <c r="F10" s="18">
        <v>1</v>
      </c>
      <c r="G10" s="18">
        <v>-0.17729038475534992</v>
      </c>
      <c r="H10" s="18">
        <v>1</v>
      </c>
      <c r="I10" s="18">
        <v>5.0960886905277043</v>
      </c>
      <c r="J10" s="20"/>
      <c r="K10" s="18">
        <v>1</v>
      </c>
      <c r="L10" s="18">
        <v>-0.17779817456597799</v>
      </c>
      <c r="M10" s="18">
        <v>1</v>
      </c>
      <c r="N10" s="18">
        <v>5.0959221219942554</v>
      </c>
      <c r="O10" s="20"/>
      <c r="P10" s="18">
        <v>1</v>
      </c>
      <c r="Q10" s="18">
        <v>-0.17836995379617804</v>
      </c>
      <c r="R10" s="18">
        <v>1</v>
      </c>
      <c r="S10" s="18">
        <v>5.0957585286439055</v>
      </c>
      <c r="T10" s="18"/>
      <c r="U10" s="18">
        <v>1</v>
      </c>
      <c r="V10" s="18">
        <v>-0.17895022700966881</v>
      </c>
      <c r="W10" s="18">
        <v>1</v>
      </c>
      <c r="X10" s="18">
        <v>5.0955956821406847</v>
      </c>
    </row>
    <row r="11" spans="1:29" x14ac:dyDescent="0.2">
      <c r="A11" s="18">
        <v>1.2</v>
      </c>
      <c r="B11" s="18">
        <v>-0.17628286054757264</v>
      </c>
      <c r="C11" s="18">
        <v>1.2</v>
      </c>
      <c r="D11" s="18">
        <v>4.8952566864751743</v>
      </c>
      <c r="E11" s="20"/>
      <c r="F11" s="18">
        <v>1.2</v>
      </c>
      <c r="G11" s="18">
        <v>-0.18628186217038734</v>
      </c>
      <c r="H11" s="18">
        <v>1.2</v>
      </c>
      <c r="I11" s="18">
        <v>4.8962801000589664</v>
      </c>
      <c r="J11" s="20"/>
      <c r="K11" s="18">
        <v>1.2</v>
      </c>
      <c r="L11" s="18">
        <v>-0.18693559910001992</v>
      </c>
      <c r="M11" s="18">
        <v>1.2</v>
      </c>
      <c r="N11" s="18">
        <v>4.8960828762596167</v>
      </c>
      <c r="O11" s="20"/>
      <c r="P11" s="18">
        <v>1.2</v>
      </c>
      <c r="Q11" s="18">
        <v>-0.18770183499839996</v>
      </c>
      <c r="R11" s="18">
        <v>1.2</v>
      </c>
      <c r="S11" s="18">
        <v>4.8958909963186708</v>
      </c>
      <c r="T11" s="18"/>
      <c r="U11" s="18">
        <v>1.2</v>
      </c>
      <c r="V11" s="18">
        <v>-0.18848472737303104</v>
      </c>
      <c r="W11" s="18">
        <v>1.2</v>
      </c>
      <c r="X11" s="18">
        <v>4.8957004366822554</v>
      </c>
    </row>
    <row r="12" spans="1:29" x14ac:dyDescent="0.2">
      <c r="A12" s="18">
        <v>1.4</v>
      </c>
      <c r="B12" s="18">
        <v>-0.18225596672474115</v>
      </c>
      <c r="C12" s="18">
        <v>1.4</v>
      </c>
      <c r="D12" s="18">
        <v>4.6952234833290571</v>
      </c>
      <c r="E12" s="20"/>
      <c r="F12" s="18">
        <v>1.4</v>
      </c>
      <c r="G12" s="18">
        <v>-0.19579391585283082</v>
      </c>
      <c r="H12" s="18">
        <v>1.4</v>
      </c>
      <c r="I12" s="18">
        <v>4.6964956308628265</v>
      </c>
      <c r="J12" s="20"/>
      <c r="K12" s="18">
        <v>1.4</v>
      </c>
      <c r="L12" s="18">
        <v>-0.19658236753061317</v>
      </c>
      <c r="M12" s="18">
        <v>1.4</v>
      </c>
      <c r="N12" s="18">
        <v>4.6962675812920907</v>
      </c>
      <c r="O12" s="20"/>
      <c r="P12" s="18">
        <v>1.4</v>
      </c>
      <c r="Q12" s="18">
        <v>-0.19755166319026024</v>
      </c>
      <c r="R12" s="18">
        <v>1.4</v>
      </c>
      <c r="S12" s="18">
        <v>4.6960483276390859</v>
      </c>
      <c r="T12" s="18"/>
      <c r="U12" s="18">
        <v>1.4</v>
      </c>
      <c r="V12" s="18">
        <v>-0.19854988925211864</v>
      </c>
      <c r="W12" s="18">
        <v>1.4</v>
      </c>
      <c r="X12" s="18">
        <v>4.6958312133900382</v>
      </c>
    </row>
    <row r="13" spans="1:29" x14ac:dyDescent="0.2">
      <c r="A13" s="18">
        <v>1.5999999999999999</v>
      </c>
      <c r="B13" s="18">
        <v>-0.18822941613849747</v>
      </c>
      <c r="C13" s="18">
        <v>1.5999999999999999</v>
      </c>
      <c r="D13" s="18">
        <v>4.4951903097524699</v>
      </c>
      <c r="E13" s="20"/>
      <c r="F13" s="18">
        <v>1.5999999999999999</v>
      </c>
      <c r="G13" s="18">
        <v>-0.20581807124843973</v>
      </c>
      <c r="H13" s="18">
        <v>1.5999999999999999</v>
      </c>
      <c r="I13" s="18">
        <v>4.4967362171658039</v>
      </c>
      <c r="J13" s="20"/>
      <c r="K13" s="18">
        <v>1.5999999999999999</v>
      </c>
      <c r="L13" s="18">
        <v>-0.20671999085868059</v>
      </c>
      <c r="M13" s="18">
        <v>1.5999999999999999</v>
      </c>
      <c r="N13" s="18">
        <v>4.4964766000571261</v>
      </c>
      <c r="O13" s="20"/>
      <c r="P13" s="18">
        <v>1.5999999999999999</v>
      </c>
      <c r="Q13" s="18">
        <v>-0.207894405691952</v>
      </c>
      <c r="R13" s="18">
        <v>1.5999999999999999</v>
      </c>
      <c r="S13" s="18">
        <v>4.4962305720664038</v>
      </c>
      <c r="T13" s="18"/>
      <c r="U13" s="18">
        <v>1.5999999999999999</v>
      </c>
      <c r="V13" s="18">
        <v>-0.20911506247838219</v>
      </c>
      <c r="W13" s="18">
        <v>1.5999999999999999</v>
      </c>
      <c r="X13" s="18">
        <v>4.4959878036416301</v>
      </c>
    </row>
    <row r="14" spans="1:29" x14ac:dyDescent="0.2">
      <c r="A14" s="18">
        <v>1.7999999999999998</v>
      </c>
      <c r="B14" s="18">
        <v>-0.19420323940635273</v>
      </c>
      <c r="C14" s="18">
        <v>1.7999999999999998</v>
      </c>
      <c r="D14" s="18">
        <v>4.2951571666603678</v>
      </c>
      <c r="E14" s="20"/>
      <c r="F14" s="18">
        <v>1.7999999999999998</v>
      </c>
      <c r="G14" s="18">
        <v>-0.21634600794336678</v>
      </c>
      <c r="H14" s="18">
        <v>1.7999999999999998</v>
      </c>
      <c r="I14" s="18">
        <v>4.2970027364814731</v>
      </c>
      <c r="J14" s="20"/>
      <c r="K14" s="18">
        <v>1.7999999999999998</v>
      </c>
      <c r="L14" s="18">
        <v>-0.21733066198655249</v>
      </c>
      <c r="M14" s="18">
        <v>1.7999999999999998</v>
      </c>
      <c r="N14" s="18">
        <v>4.2967101955378082</v>
      </c>
      <c r="O14" s="20"/>
      <c r="P14" s="18">
        <v>1.7999999999999998</v>
      </c>
      <c r="Q14" s="18">
        <v>-0.21870624987355747</v>
      </c>
      <c r="R14" s="18">
        <v>1.7999999999999998</v>
      </c>
      <c r="S14" s="18">
        <v>4.2964376597210503</v>
      </c>
      <c r="T14" s="18"/>
      <c r="U14" s="18">
        <v>1.7999999999999998</v>
      </c>
      <c r="V14" s="18">
        <v>-0.22015137745799865</v>
      </c>
      <c r="W14" s="18">
        <v>1.7999999999999998</v>
      </c>
      <c r="X14" s="18">
        <v>4.2961698667970474</v>
      </c>
    </row>
    <row r="15" spans="1:29" x14ac:dyDescent="0.2">
      <c r="A15" s="18">
        <v>1.9999999999999998</v>
      </c>
      <c r="B15" s="18">
        <v>-0.20017746500225173</v>
      </c>
      <c r="C15" s="18">
        <v>1.9999999999999998</v>
      </c>
      <c r="D15" s="18">
        <v>4.0951240549038568</v>
      </c>
      <c r="E15" s="20"/>
      <c r="F15" s="18">
        <v>1.9999999999999998</v>
      </c>
      <c r="G15" s="18">
        <v>-0.22736955674108345</v>
      </c>
      <c r="H15" s="18">
        <v>1.9999999999999998</v>
      </c>
      <c r="I15" s="18">
        <v>4.0972960120401858</v>
      </c>
      <c r="J15" s="20"/>
      <c r="K15" s="18">
        <v>1.9999999999999998</v>
      </c>
      <c r="L15" s="18">
        <v>-0.22839723058848885</v>
      </c>
      <c r="M15" s="18">
        <v>1.9999999999999998</v>
      </c>
      <c r="N15" s="18">
        <v>4.0969685406440544</v>
      </c>
      <c r="O15" s="20"/>
      <c r="P15" s="18">
        <v>1.9999999999999998</v>
      </c>
      <c r="Q15" s="18">
        <v>-0.22996454375852218</v>
      </c>
      <c r="R15" s="18">
        <v>1.9999999999999998</v>
      </c>
      <c r="S15" s="18">
        <v>4.0966694182592711</v>
      </c>
      <c r="T15" s="18"/>
      <c r="U15" s="18">
        <v>1.9999999999999998</v>
      </c>
      <c r="V15" s="18">
        <v>-0.23163164181857426</v>
      </c>
      <c r="W15" s="18">
        <v>1.9999999999999998</v>
      </c>
      <c r="X15" s="18">
        <v>4.0963769540551622</v>
      </c>
    </row>
    <row r="16" spans="1:29" x14ac:dyDescent="0.2">
      <c r="A16" s="18">
        <v>2.1999999999999997</v>
      </c>
      <c r="B16" s="18">
        <v>-0.20615211935724459</v>
      </c>
      <c r="C16" s="18">
        <v>2.1999999999999997</v>
      </c>
      <c r="D16" s="18">
        <v>3.8950909752731984</v>
      </c>
      <c r="E16" s="20"/>
      <c r="F16" s="18">
        <v>2.1999999999999997</v>
      </c>
      <c r="G16" s="18">
        <v>-0.23888069678015708</v>
      </c>
      <c r="H16" s="18">
        <v>2.1999999999999997</v>
      </c>
      <c r="I16" s="18">
        <v>3.8976168151210846</v>
      </c>
      <c r="J16" s="20"/>
      <c r="K16" s="18">
        <v>2.1999999999999997</v>
      </c>
      <c r="L16" s="18">
        <v>-0.23990317886067289</v>
      </c>
      <c r="M16" s="18">
        <v>2.1999999999999997</v>
      </c>
      <c r="N16" s="18">
        <v>3.8972517273045297</v>
      </c>
      <c r="O16" s="20"/>
      <c r="P16" s="18">
        <v>2.1999999999999997</v>
      </c>
      <c r="Q16" s="18">
        <v>-0.24164773944662735</v>
      </c>
      <c r="R16" s="18">
        <v>2.1999999999999997</v>
      </c>
      <c r="S16" s="18">
        <v>3.8969255878756903</v>
      </c>
      <c r="T16" s="18"/>
      <c r="U16" s="18">
        <v>2.1999999999999997</v>
      </c>
      <c r="V16" s="18">
        <v>-0.24353024295991499</v>
      </c>
      <c r="W16" s="18">
        <v>2.1999999999999997</v>
      </c>
      <c r="X16" s="18">
        <v>3.896608529100233</v>
      </c>
    </row>
    <row r="17" spans="1:24" x14ac:dyDescent="0.2">
      <c r="A17" s="18">
        <v>2.4</v>
      </c>
      <c r="B17" s="18">
        <v>-0.21212722695285591</v>
      </c>
      <c r="C17" s="18">
        <v>2.4</v>
      </c>
      <c r="D17" s="18">
        <v>3.6950579285005887</v>
      </c>
      <c r="E17" s="20"/>
      <c r="F17" s="18">
        <v>2.4</v>
      </c>
      <c r="G17" s="18">
        <v>-0.25087155269297434</v>
      </c>
      <c r="H17" s="18">
        <v>2.4</v>
      </c>
      <c r="I17" s="18">
        <v>3.6979658672901183</v>
      </c>
      <c r="J17" s="20"/>
      <c r="K17" s="18">
        <v>2.4</v>
      </c>
      <c r="L17" s="18">
        <v>-0.25183259812518805</v>
      </c>
      <c r="M17" s="18">
        <v>2.4</v>
      </c>
      <c r="N17" s="18">
        <v>3.6975597748040432</v>
      </c>
      <c r="O17" s="20"/>
      <c r="P17" s="18">
        <v>2.4</v>
      </c>
      <c r="Q17" s="18">
        <v>-0.25373533923408526</v>
      </c>
      <c r="R17" s="18">
        <v>2.4</v>
      </c>
      <c r="S17" s="18">
        <v>3.6972058346228165</v>
      </c>
      <c r="T17" s="18"/>
      <c r="U17" s="18">
        <v>2.4</v>
      </c>
      <c r="V17" s="18">
        <v>-0.25582305619044537</v>
      </c>
      <c r="W17" s="18">
        <v>2.4</v>
      </c>
      <c r="X17" s="18">
        <v>3.6968639859302317</v>
      </c>
    </row>
    <row r="18" spans="1:24" x14ac:dyDescent="0.2">
      <c r="A18" s="18">
        <v>2.6</v>
      </c>
      <c r="B18" s="18">
        <v>-0.21810281040748777</v>
      </c>
      <c r="C18" s="18">
        <v>2.6</v>
      </c>
      <c r="D18" s="18">
        <v>3.4950249152627353</v>
      </c>
      <c r="E18" s="20"/>
      <c r="F18" s="18">
        <v>2.6</v>
      </c>
      <c r="G18" s="18">
        <v>-0.26333439180544554</v>
      </c>
      <c r="H18" s="18">
        <v>2.6</v>
      </c>
      <c r="I18" s="18">
        <v>3.4983438425476634</v>
      </c>
      <c r="J18" s="20"/>
      <c r="K18" s="18">
        <v>2.6</v>
      </c>
      <c r="L18" s="18">
        <v>-0.26417016626250933</v>
      </c>
      <c r="M18" s="18">
        <v>2.6</v>
      </c>
      <c r="N18" s="18">
        <v>3.497892637424505</v>
      </c>
      <c r="O18" s="20"/>
      <c r="P18" s="18">
        <v>2.6</v>
      </c>
      <c r="Q18" s="18">
        <v>-0.26620784431172129</v>
      </c>
      <c r="R18" s="18">
        <v>2.6</v>
      </c>
      <c r="S18" s="18">
        <v>3.4975097622198263</v>
      </c>
      <c r="T18" s="18"/>
      <c r="U18" s="18">
        <v>2.6</v>
      </c>
      <c r="V18" s="18">
        <v>-0.26848735814421687</v>
      </c>
      <c r="W18" s="18">
        <v>2.6</v>
      </c>
      <c r="X18" s="18">
        <v>3.4971426642128707</v>
      </c>
    </row>
    <row r="19" spans="1:24" x14ac:dyDescent="0.2">
      <c r="A19" s="18">
        <v>2.8000000000000003</v>
      </c>
      <c r="B19" s="18">
        <v>-0.22407889055616781</v>
      </c>
      <c r="C19" s="18">
        <v>2.8000000000000003</v>
      </c>
      <c r="D19" s="18">
        <v>3.2949919361832269</v>
      </c>
      <c r="E19" s="20"/>
      <c r="F19" s="18">
        <v>2.8000000000000003</v>
      </c>
      <c r="G19" s="18">
        <v>-0.27626162137766919</v>
      </c>
      <c r="H19" s="18">
        <v>2.8000000000000003</v>
      </c>
      <c r="I19" s="18">
        <v>3.2987513693891786</v>
      </c>
      <c r="J19" s="20"/>
      <c r="K19" s="18">
        <v>2.8000000000000003</v>
      </c>
      <c r="L19" s="18">
        <v>-0.27690112594716915</v>
      </c>
      <c r="M19" s="18">
        <v>2.8000000000000003</v>
      </c>
      <c r="N19" s="18">
        <v>3.2982502114432544</v>
      </c>
      <c r="O19" s="20"/>
      <c r="P19" s="18">
        <v>2.8000000000000003</v>
      </c>
      <c r="Q19" s="18">
        <v>-0.27904670592579034</v>
      </c>
      <c r="R19" s="18">
        <v>2.8000000000000003</v>
      </c>
      <c r="S19" s="18">
        <v>3.2978369225060038</v>
      </c>
      <c r="T19" s="18"/>
      <c r="U19" s="18">
        <v>2.8000000000000003</v>
      </c>
      <c r="V19" s="18">
        <v>-0.28150174518698795</v>
      </c>
      <c r="W19" s="18">
        <v>2.8000000000000003</v>
      </c>
      <c r="X19" s="18">
        <v>3.2974438624747062</v>
      </c>
    </row>
    <row r="20" spans="1:24" x14ac:dyDescent="0.2">
      <c r="A20" s="18">
        <v>3.0000000000000004</v>
      </c>
      <c r="B20" s="18">
        <v>-0.23005548652392938</v>
      </c>
      <c r="C20" s="18">
        <v>3.0000000000000004</v>
      </c>
      <c r="D20" s="18">
        <v>3.094958991834718</v>
      </c>
      <c r="E20" s="20"/>
      <c r="F20" s="18">
        <v>3.0000000000000004</v>
      </c>
      <c r="G20" s="18">
        <v>-0.28964578588548512</v>
      </c>
      <c r="H20" s="18">
        <v>3.0000000000000004</v>
      </c>
      <c r="I20" s="18">
        <v>3.0991890327822391</v>
      </c>
      <c r="J20" s="20"/>
      <c r="K20" s="18">
        <v>3.0000000000000004</v>
      </c>
      <c r="L20" s="18">
        <v>-0.29001126366147684</v>
      </c>
      <c r="M20" s="18">
        <v>3.0000000000000004</v>
      </c>
      <c r="N20" s="18">
        <v>3.0986323415385355</v>
      </c>
      <c r="O20" s="20"/>
      <c r="P20" s="18">
        <v>3.0000000000000004</v>
      </c>
      <c r="Q20" s="18">
        <v>-0.2922342788897348</v>
      </c>
      <c r="R20" s="18">
        <v>3.0000000000000004</v>
      </c>
      <c r="S20" s="18">
        <v>3.0981868246789181</v>
      </c>
      <c r="T20" s="18"/>
      <c r="U20" s="18">
        <v>3.0000000000000004</v>
      </c>
      <c r="V20" s="18">
        <v>-0.29484605653339546</v>
      </c>
      <c r="W20" s="18">
        <v>3.0000000000000004</v>
      </c>
      <c r="X20" s="18">
        <v>3.097766849392749</v>
      </c>
    </row>
    <row r="21" spans="1:24" x14ac:dyDescent="0.2">
      <c r="A21" s="18">
        <v>3.2000000000000006</v>
      </c>
      <c r="B21" s="18">
        <v>-0.23603261579308879</v>
      </c>
      <c r="C21" s="18">
        <v>3.2000000000000006</v>
      </c>
      <c r="D21" s="18">
        <v>2.8949260827409233</v>
      </c>
      <c r="E21" s="20"/>
      <c r="F21" s="18">
        <v>3.2000000000000006</v>
      </c>
      <c r="G21" s="18">
        <v>-0.30347956434279783</v>
      </c>
      <c r="H21" s="18">
        <v>3.2000000000000006</v>
      </c>
      <c r="I21" s="18">
        <v>2.8996573760631414</v>
      </c>
      <c r="J21" s="20"/>
      <c r="K21" s="18">
        <v>3.2000000000000006</v>
      </c>
      <c r="L21" s="18">
        <v>-0.30348688946246649</v>
      </c>
      <c r="M21" s="18">
        <v>3.2000000000000006</v>
      </c>
      <c r="N21" s="18">
        <v>2.8990388266481939</v>
      </c>
      <c r="O21" s="20"/>
      <c r="P21" s="18">
        <v>3.2000000000000006</v>
      </c>
      <c r="Q21" s="18">
        <v>-0.30575377733905862</v>
      </c>
      <c r="R21" s="18">
        <v>3.2000000000000006</v>
      </c>
      <c r="S21" s="18">
        <v>2.8985589434435788</v>
      </c>
      <c r="T21" s="18"/>
      <c r="U21" s="18">
        <v>3.2000000000000006</v>
      </c>
      <c r="V21" s="18">
        <v>-0.30850130181063951</v>
      </c>
      <c r="W21" s="18">
        <v>3.2000000000000006</v>
      </c>
      <c r="X21" s="18">
        <v>2.8981108734262278</v>
      </c>
    </row>
    <row r="22" spans="1:24" x14ac:dyDescent="0.2">
      <c r="A22" s="18">
        <v>3.4000000000000008</v>
      </c>
      <c r="B22" s="18">
        <v>-0.24201029426466167</v>
      </c>
      <c r="C22" s="18">
        <v>3.4000000000000008</v>
      </c>
      <c r="D22" s="18">
        <v>2.6948932093784452</v>
      </c>
      <c r="E22" s="20"/>
      <c r="F22" s="18">
        <v>3.4000000000000008</v>
      </c>
      <c r="G22" s="18">
        <v>-0.31775576766450714</v>
      </c>
      <c r="H22" s="18">
        <v>3.4000000000000008</v>
      </c>
      <c r="I22" s="18">
        <v>2.7001569027561598</v>
      </c>
      <c r="J22" s="20"/>
      <c r="K22" s="18">
        <v>3.4000000000000008</v>
      </c>
      <c r="L22" s="18">
        <v>-0.31731481747760909</v>
      </c>
      <c r="M22" s="18">
        <v>3.4000000000000008</v>
      </c>
      <c r="N22" s="18">
        <v>2.6994694253242306</v>
      </c>
      <c r="O22" s="20"/>
      <c r="P22" s="18">
        <v>3.4000000000000008</v>
      </c>
      <c r="Q22" s="18">
        <v>-0.31958923262542793</v>
      </c>
      <c r="R22" s="18">
        <v>3.4000000000000008</v>
      </c>
      <c r="S22" s="18">
        <v>2.6989527261862967</v>
      </c>
      <c r="T22" s="18"/>
      <c r="U22" s="18">
        <v>3.4000000000000008</v>
      </c>
      <c r="V22" s="18">
        <v>-0.3224495928172505</v>
      </c>
      <c r="W22" s="18">
        <v>3.4000000000000008</v>
      </c>
      <c r="X22" s="18">
        <v>2.6984751709979853</v>
      </c>
    </row>
    <row r="23" spans="1:24" x14ac:dyDescent="0.2">
      <c r="A23" s="18">
        <v>3.600000000000001</v>
      </c>
      <c r="B23" s="18">
        <v>-0.24798853631414061</v>
      </c>
      <c r="C23" s="18">
        <v>3.600000000000001</v>
      </c>
      <c r="D23" s="18">
        <v>2.4948603721784233</v>
      </c>
      <c r="E23" s="20"/>
      <c r="F23" s="18">
        <v>3.600000000000001</v>
      </c>
      <c r="G23" s="18">
        <v>-0.33246733606984574</v>
      </c>
      <c r="H23" s="18">
        <v>3.600000000000001</v>
      </c>
      <c r="I23" s="18">
        <v>2.5006880783184329</v>
      </c>
      <c r="J23" s="20"/>
      <c r="K23" s="18">
        <v>3.600000000000001</v>
      </c>
      <c r="L23" s="18">
        <v>-0.33148234710523838</v>
      </c>
      <c r="M23" s="18">
        <v>3.600000000000001</v>
      </c>
      <c r="N23" s="18">
        <v>2.4999238606226455</v>
      </c>
      <c r="O23" s="20"/>
      <c r="P23" s="18">
        <v>3.600000000000001</v>
      </c>
      <c r="Q23" s="18">
        <v>-0.33372545325005754</v>
      </c>
      <c r="R23" s="18">
        <v>3.600000000000001</v>
      </c>
      <c r="S23" s="18">
        <v>2.4993675992756796</v>
      </c>
      <c r="T23" s="18"/>
      <c r="U23" s="18">
        <v>3.600000000000001</v>
      </c>
      <c r="V23" s="18">
        <v>-0.33667407923832882</v>
      </c>
      <c r="W23" s="18">
        <v>3.600000000000001</v>
      </c>
      <c r="X23" s="18">
        <v>2.4988589734100919</v>
      </c>
    </row>
    <row r="24" spans="1:24" x14ac:dyDescent="0.2">
      <c r="A24" s="18">
        <v>3.8000000000000012</v>
      </c>
      <c r="B24" s="18">
        <v>-0.25396735484183519</v>
      </c>
      <c r="C24" s="18">
        <v>3.8000000000000012</v>
      </c>
      <c r="D24" s="18">
        <v>2.2948275715280273</v>
      </c>
      <c r="E24" s="20"/>
      <c r="F24" s="18">
        <v>3.8000000000000012</v>
      </c>
      <c r="G24" s="18">
        <v>-0.34760733652588494</v>
      </c>
      <c r="H24" s="18">
        <v>3.8000000000000012</v>
      </c>
      <c r="I24" s="18">
        <v>2.3012513318133254</v>
      </c>
      <c r="J24" s="20"/>
      <c r="K24" s="18">
        <v>3.8000000000000012</v>
      </c>
      <c r="L24" s="18">
        <v>-0.34597724489609771</v>
      </c>
      <c r="M24" s="18">
        <v>3.8000000000000012</v>
      </c>
      <c r="N24" s="18">
        <v>2.3004018245650446</v>
      </c>
      <c r="O24" s="20"/>
      <c r="P24" s="18">
        <v>3.8000000000000012</v>
      </c>
      <c r="Q24" s="18">
        <v>-0.34814798674038805</v>
      </c>
      <c r="R24" s="18">
        <v>3.8000000000000012</v>
      </c>
      <c r="S24" s="18">
        <v>2.2998029735829899</v>
      </c>
      <c r="T24" s="18"/>
      <c r="U24" s="18">
        <v>3.8000000000000012</v>
      </c>
      <c r="V24" s="18">
        <v>-0.35115888809107437</v>
      </c>
      <c r="W24" s="18">
        <v>3.8000000000000012</v>
      </c>
      <c r="X24" s="18">
        <v>2.2992615126562188</v>
      </c>
    </row>
    <row r="25" spans="1:24" x14ac:dyDescent="0.2">
      <c r="A25" s="18">
        <v>4.0000000000000009</v>
      </c>
      <c r="B25" s="18">
        <v>-0.25994676131795669</v>
      </c>
      <c r="C25" s="18">
        <v>4.0000000000000009</v>
      </c>
      <c r="D25" s="18">
        <v>2.0947948077717906</v>
      </c>
      <c r="E25" s="20"/>
      <c r="F25" s="18">
        <v>4.0000000000000009</v>
      </c>
      <c r="G25" s="18">
        <v>-0.36316896023093753</v>
      </c>
      <c r="H25" s="18">
        <v>4.0000000000000009</v>
      </c>
      <c r="I25" s="18">
        <v>2.1018470575150237</v>
      </c>
      <c r="J25" s="20"/>
      <c r="K25" s="18">
        <v>4.0000000000000009</v>
      </c>
      <c r="L25" s="18">
        <v>-0.36078772709290707</v>
      </c>
      <c r="M25" s="18">
        <v>4.0000000000000009</v>
      </c>
      <c r="N25" s="18">
        <v>2.1009029822057483</v>
      </c>
      <c r="O25" s="20"/>
      <c r="P25" s="18">
        <v>4.0000000000000009</v>
      </c>
      <c r="Q25" s="18">
        <v>-0.36284308337795518</v>
      </c>
      <c r="R25" s="18">
        <v>4.0000000000000009</v>
      </c>
      <c r="S25" s="18">
        <v>2.1002582493048587</v>
      </c>
      <c r="T25" s="18"/>
      <c r="U25" s="18">
        <v>4.0000000000000009</v>
      </c>
      <c r="V25" s="18">
        <v>-0.36588906668641752</v>
      </c>
      <c r="W25" s="18">
        <v>4.0000000000000009</v>
      </c>
      <c r="X25" s="18">
        <v>2.0996820262738378</v>
      </c>
    </row>
    <row r="26" spans="1:24" x14ac:dyDescent="0.2">
      <c r="A26" s="18">
        <v>4.2000000000000011</v>
      </c>
      <c r="B26" s="18">
        <v>-0.26592676582261054</v>
      </c>
      <c r="C26" s="18">
        <v>4.2000000000000011</v>
      </c>
      <c r="D26" s="18">
        <v>1.8947620812127888</v>
      </c>
      <c r="E26" s="20"/>
      <c r="F26" s="18">
        <v>4.2000000000000011</v>
      </c>
      <c r="G26" s="18">
        <v>-0.37914552013755609</v>
      </c>
      <c r="H26" s="18">
        <v>4.2000000000000011</v>
      </c>
      <c r="I26" s="18">
        <v>1.9024756164470076</v>
      </c>
      <c r="J26" s="20"/>
      <c r="K26" s="18">
        <v>4.2000000000000011</v>
      </c>
      <c r="L26" s="18">
        <v>-0.37590244280537172</v>
      </c>
      <c r="M26" s="18">
        <v>4.2000000000000011</v>
      </c>
      <c r="N26" s="18">
        <v>1.9014269753355755</v>
      </c>
      <c r="O26" s="20"/>
      <c r="P26" s="18">
        <v>4.2000000000000011</v>
      </c>
      <c r="Q26" s="18">
        <v>-0.37779766168919671</v>
      </c>
      <c r="R26" s="18">
        <v>4.2000000000000011</v>
      </c>
      <c r="S26" s="18">
        <v>1.9007328201630427</v>
      </c>
      <c r="T26" s="18"/>
      <c r="U26" s="18">
        <v>4.2000000000000011</v>
      </c>
      <c r="V26" s="18">
        <v>-0.38085052890409554</v>
      </c>
      <c r="W26" s="18">
        <v>4.2000000000000011</v>
      </c>
      <c r="X26" s="18">
        <v>1.9001197613620853</v>
      </c>
    </row>
    <row r="27" spans="1:24" x14ac:dyDescent="0.2">
      <c r="A27" s="18">
        <v>4.4000000000000012</v>
      </c>
      <c r="B27" s="18">
        <v>-0.27190737708084167</v>
      </c>
      <c r="C27" s="18">
        <v>4.4000000000000012</v>
      </c>
      <c r="D27" s="18">
        <v>1.6947293921136757</v>
      </c>
      <c r="E27" s="20"/>
      <c r="F27" s="18">
        <v>4.4000000000000012</v>
      </c>
      <c r="G27" s="18">
        <v>-0.39553044851479779</v>
      </c>
      <c r="H27" s="18">
        <v>4.4000000000000012</v>
      </c>
      <c r="I27" s="18">
        <v>1.7031373378569519</v>
      </c>
      <c r="J27" s="20"/>
      <c r="K27" s="18">
        <v>4.4000000000000012</v>
      </c>
      <c r="L27" s="18">
        <v>-0.39131045779859425</v>
      </c>
      <c r="M27" s="18">
        <v>4.4000000000000012</v>
      </c>
      <c r="N27" s="18">
        <v>1.7019734258511494</v>
      </c>
      <c r="O27" s="20"/>
      <c r="P27" s="18">
        <v>4.4000000000000012</v>
      </c>
      <c r="Q27" s="18">
        <v>-0.39299927561469961</v>
      </c>
      <c r="R27" s="18">
        <v>4.4000000000000012</v>
      </c>
      <c r="S27" s="18">
        <v>1.701226077048394</v>
      </c>
      <c r="T27" s="18"/>
      <c r="U27" s="18">
        <v>4.4000000000000012</v>
      </c>
      <c r="V27" s="18">
        <v>-0.39603000458956794</v>
      </c>
      <c r="W27" s="18">
        <v>4.4000000000000012</v>
      </c>
      <c r="X27" s="18">
        <v>1.700573977875925</v>
      </c>
    </row>
    <row r="28" spans="1:24" x14ac:dyDescent="0.2">
      <c r="A28" s="18">
        <v>4.6000000000000014</v>
      </c>
      <c r="B28" s="18">
        <v>-0.27788860249286024</v>
      </c>
      <c r="C28" s="18">
        <v>4.6000000000000014</v>
      </c>
      <c r="D28" s="18">
        <v>1.49469674069757</v>
      </c>
      <c r="E28" s="20"/>
      <c r="F28" s="18">
        <v>4.6000000000000014</v>
      </c>
      <c r="G28" s="18">
        <v>-0.41231729454940041</v>
      </c>
      <c r="H28" s="18">
        <v>4.6000000000000014</v>
      </c>
      <c r="I28" s="18">
        <v>1.5038325206305003</v>
      </c>
      <c r="J28" s="20"/>
      <c r="K28" s="18">
        <v>4.6000000000000014</v>
      </c>
      <c r="L28" s="18">
        <v>-0.40700123887341139</v>
      </c>
      <c r="M28" s="18">
        <v>4.6000000000000014</v>
      </c>
      <c r="N28" s="18">
        <v>1.5025419388163566</v>
      </c>
      <c r="O28" s="20"/>
      <c r="P28" s="18">
        <v>4.6000000000000014</v>
      </c>
      <c r="Q28" s="18">
        <v>-0.40843608327606395</v>
      </c>
      <c r="R28" s="18">
        <v>4.6000000000000014</v>
      </c>
      <c r="S28" s="18">
        <v>1.5017374111694233</v>
      </c>
      <c r="T28" s="18"/>
      <c r="U28" s="18">
        <v>4.6000000000000014</v>
      </c>
      <c r="V28" s="18">
        <v>-0.41141499189172898</v>
      </c>
      <c r="W28" s="18">
        <v>4.6000000000000014</v>
      </c>
      <c r="X28" s="18">
        <v>1.5010439512937712</v>
      </c>
    </row>
    <row r="29" spans="1:24" x14ac:dyDescent="0.2">
      <c r="A29" s="18">
        <v>4.8000000000000016</v>
      </c>
      <c r="B29" s="18">
        <v>-0.28387044815955792</v>
      </c>
      <c r="C29" s="18">
        <v>4.8000000000000016</v>
      </c>
      <c r="D29" s="18">
        <v>1.2946641271488031</v>
      </c>
      <c r="E29" s="20"/>
      <c r="F29" s="18">
        <v>4.8000000000000016</v>
      </c>
      <c r="G29" s="18">
        <v>-0.42949972198549391</v>
      </c>
      <c r="H29" s="18">
        <v>4.8000000000000016</v>
      </c>
      <c r="I29" s="18">
        <v>1.3045614346462804</v>
      </c>
      <c r="J29" s="20"/>
      <c r="K29" s="18">
        <v>4.8000000000000016</v>
      </c>
      <c r="L29" s="18">
        <v>-0.42296463881774476</v>
      </c>
      <c r="M29" s="18">
        <v>4.8000000000000016</v>
      </c>
      <c r="N29" s="18">
        <v>1.3031321052405878</v>
      </c>
      <c r="O29" s="20"/>
      <c r="P29" s="18">
        <v>4.8000000000000016</v>
      </c>
      <c r="Q29" s="18">
        <v>-0.42409681726312265</v>
      </c>
      <c r="R29" s="18">
        <v>4.8000000000000016</v>
      </c>
      <c r="S29" s="18">
        <v>1.3022662167597356</v>
      </c>
      <c r="T29" s="18"/>
      <c r="U29" s="18">
        <v>4.8000000000000016</v>
      </c>
      <c r="V29" s="18">
        <v>-0.4269937123704452</v>
      </c>
      <c r="W29" s="18">
        <v>4.8000000000000016</v>
      </c>
      <c r="X29" s="18">
        <v>1.3015289747438898</v>
      </c>
    </row>
    <row r="30" spans="1:24" x14ac:dyDescent="0.2">
      <c r="A30" s="18">
        <v>5.0000000000000018</v>
      </c>
      <c r="B30" s="18">
        <v>-0.28985291890340803</v>
      </c>
      <c r="C30" s="18">
        <v>5.0000000000000018</v>
      </c>
      <c r="D30" s="18">
        <v>1.0946315516135294</v>
      </c>
      <c r="E30" s="20"/>
      <c r="F30" s="18">
        <v>5.0000000000000018</v>
      </c>
      <c r="G30" s="18">
        <v>-0.44707150680244823</v>
      </c>
      <c r="H30" s="18">
        <v>5.0000000000000018</v>
      </c>
      <c r="I30" s="18">
        <v>1.1053243220744238</v>
      </c>
      <c r="J30" s="20"/>
      <c r="K30" s="18">
        <v>5.0000000000000018</v>
      </c>
      <c r="L30" s="18">
        <v>-0.43919088190863204</v>
      </c>
      <c r="M30" s="18">
        <v>5.0000000000000018</v>
      </c>
      <c r="N30" s="18">
        <v>1.1037435045965116</v>
      </c>
      <c r="O30" s="20"/>
      <c r="P30" s="18">
        <v>5.0000000000000018</v>
      </c>
      <c r="Q30" s="18">
        <v>-0.43997075636771804</v>
      </c>
      <c r="R30" s="18">
        <v>5.0000000000000018</v>
      </c>
      <c r="S30" s="18">
        <v>1.1028118933930886</v>
      </c>
      <c r="T30" s="18"/>
      <c r="U30" s="18">
        <v>5.0000000000000018</v>
      </c>
      <c r="V30" s="18">
        <v>-0.44275506871253251</v>
      </c>
      <c r="W30" s="18">
        <v>5.0000000000000018</v>
      </c>
      <c r="X30" s="18">
        <v>1.102028360664395</v>
      </c>
    </row>
    <row r="31" spans="1:24" x14ac:dyDescent="0.2">
      <c r="A31" s="18">
        <v>5.200000000000002</v>
      </c>
      <c r="B31" s="18">
        <v>-0.29583601828482731</v>
      </c>
      <c r="C31" s="18">
        <v>5.200000000000002</v>
      </c>
      <c r="D31" s="18">
        <v>0.89459901420019927</v>
      </c>
      <c r="E31" s="20"/>
      <c r="F31" s="18">
        <v>5.200000000000002</v>
      </c>
      <c r="G31" s="18">
        <v>-0.4650265349304421</v>
      </c>
      <c r="H31" s="18">
        <v>5.200000000000002</v>
      </c>
      <c r="I31" s="18">
        <v>0.90612139862077812</v>
      </c>
      <c r="J31" s="20"/>
      <c r="K31" s="18">
        <v>5.200000000000002</v>
      </c>
      <c r="L31" s="18">
        <v>-0.45567054994518252</v>
      </c>
      <c r="M31" s="18">
        <v>5.200000000000002</v>
      </c>
      <c r="N31" s="18">
        <v>0.90437570709839332</v>
      </c>
      <c r="O31" s="20"/>
      <c r="P31" s="18">
        <v>5.200000000000002</v>
      </c>
      <c r="Q31" s="18">
        <v>-0.45604769869357686</v>
      </c>
      <c r="R31" s="18">
        <v>5.200000000000002</v>
      </c>
      <c r="S31" s="18">
        <v>0.90337384794985098</v>
      </c>
      <c r="T31" s="18"/>
      <c r="U31" s="18">
        <v>5.200000000000002</v>
      </c>
      <c r="V31" s="18">
        <v>-0.45868860490389379</v>
      </c>
      <c r="W31" s="18">
        <v>5.200000000000002</v>
      </c>
      <c r="X31" s="18">
        <v>0.90254144206241282</v>
      </c>
    </row>
    <row r="32" spans="1:24" x14ac:dyDescent="0.2">
      <c r="A32" s="18">
        <v>5.4000000000000021</v>
      </c>
      <c r="B32" s="18">
        <v>-0.30181974861405902</v>
      </c>
      <c r="C32" s="18">
        <v>5.4000000000000021</v>
      </c>
      <c r="D32" s="18">
        <v>0.69456651497989952</v>
      </c>
      <c r="E32" s="20"/>
      <c r="F32" s="18">
        <v>5.4000000000000021</v>
      </c>
      <c r="G32" s="18">
        <v>-0.48335880000332032</v>
      </c>
      <c r="H32" s="18">
        <v>5.4000000000000021</v>
      </c>
      <c r="I32" s="18">
        <v>0.70695285471891289</v>
      </c>
      <c r="J32" s="20"/>
      <c r="K32" s="18">
        <v>5.4000000000000021</v>
      </c>
      <c r="L32" s="18">
        <v>-0.47239456879328218</v>
      </c>
      <c r="M32" s="18">
        <v>5.4000000000000021</v>
      </c>
      <c r="N32" s="18">
        <v>0.70502827576036509</v>
      </c>
      <c r="O32" s="20"/>
      <c r="P32" s="18">
        <v>5.4000000000000021</v>
      </c>
      <c r="Q32" s="18">
        <v>-0.47231793607505118</v>
      </c>
      <c r="R32" s="18">
        <v>5.4000000000000021</v>
      </c>
      <c r="S32" s="18">
        <v>0.70395149627415365</v>
      </c>
      <c r="T32" s="18"/>
      <c r="U32" s="18">
        <v>5.4000000000000021</v>
      </c>
      <c r="V32" s="18">
        <v>-0.47478446871417668</v>
      </c>
      <c r="W32" s="18">
        <v>5.4000000000000021</v>
      </c>
      <c r="X32" s="18">
        <v>0.70306757342982695</v>
      </c>
    </row>
    <row r="33" spans="1:24" x14ac:dyDescent="0.2">
      <c r="A33" s="18">
        <v>5.6000000000000023</v>
      </c>
      <c r="B33" s="18">
        <v>-0.3078041109586237</v>
      </c>
      <c r="C33" s="18">
        <v>5.6000000000000023</v>
      </c>
      <c r="D33" s="18">
        <v>0.49453405398656008</v>
      </c>
      <c r="E33" s="20"/>
      <c r="F33" s="18">
        <v>5.6000000000000023</v>
      </c>
      <c r="G33" s="18">
        <v>-0.50206240114829148</v>
      </c>
      <c r="H33" s="18">
        <v>5.6000000000000023</v>
      </c>
      <c r="I33" s="18">
        <v>0.50781885667193738</v>
      </c>
      <c r="J33" s="20"/>
      <c r="K33" s="18">
        <v>5.6000000000000023</v>
      </c>
      <c r="L33" s="18">
        <v>-0.4893541954234491</v>
      </c>
      <c r="M33" s="18">
        <v>5.6000000000000023</v>
      </c>
      <c r="N33" s="18">
        <v>0.50570076825257249</v>
      </c>
      <c r="O33" s="20"/>
      <c r="P33" s="18">
        <v>5.6000000000000023</v>
      </c>
      <c r="Q33" s="18">
        <v>-0.48877222974059747</v>
      </c>
      <c r="R33" s="18">
        <v>5.6000000000000023</v>
      </c>
      <c r="S33" s="18">
        <v>0.50454426455697654</v>
      </c>
      <c r="T33" s="18"/>
      <c r="U33" s="18">
        <v>5.6000000000000023</v>
      </c>
      <c r="V33" s="18">
        <v>-0.49103337635849909</v>
      </c>
      <c r="W33" s="18">
        <v>5.6000000000000023</v>
      </c>
      <c r="X33" s="18">
        <v>0.50360613136581756</v>
      </c>
    </row>
    <row r="34" spans="1:24" x14ac:dyDescent="0.2">
      <c r="A34" s="18">
        <v>5.8000000000000025</v>
      </c>
      <c r="B34" s="18">
        <v>-0.3137891051463656</v>
      </c>
      <c r="C34" s="18">
        <v>5.8000000000000025</v>
      </c>
      <c r="D34" s="18">
        <v>0.29450163121703016</v>
      </c>
      <c r="E34" s="20"/>
      <c r="F34" s="18">
        <v>5.8000000000000025</v>
      </c>
      <c r="G34" s="18">
        <v>-0.52113154081200586</v>
      </c>
      <c r="H34" s="18">
        <v>5.8000000000000025</v>
      </c>
      <c r="I34" s="18">
        <v>0.30871954774608029</v>
      </c>
      <c r="J34" s="20"/>
      <c r="K34" s="18">
        <v>5.8000000000000025</v>
      </c>
      <c r="L34" s="18">
        <v>-0.50654100542381253</v>
      </c>
      <c r="M34" s="18">
        <v>5.8000000000000025</v>
      </c>
      <c r="N34" s="18">
        <v>0.3063927385717366</v>
      </c>
      <c r="O34" s="20"/>
      <c r="P34" s="18">
        <v>5.8000000000000025</v>
      </c>
      <c r="Q34" s="18">
        <v>-0.50540178715985185</v>
      </c>
      <c r="R34" s="18">
        <v>5.8000000000000025</v>
      </c>
      <c r="S34" s="18">
        <v>0.30515159047677615</v>
      </c>
      <c r="T34" s="18"/>
      <c r="U34" s="18">
        <v>5.8000000000000025</v>
      </c>
      <c r="V34" s="18">
        <v>-0.50742657920853562</v>
      </c>
      <c r="W34" s="18">
        <v>5.8000000000000025</v>
      </c>
      <c r="X34" s="18">
        <v>0.30415651495007162</v>
      </c>
    </row>
    <row r="35" spans="1:24" x14ac:dyDescent="0.2">
      <c r="A35" s="18">
        <v>6.0000000000000027</v>
      </c>
      <c r="B35" s="18">
        <v>-0.31977472976410992</v>
      </c>
      <c r="C35" s="18">
        <v>6.0000000000000027</v>
      </c>
      <c r="D35" s="18">
        <v>9.4469246631021575E-2</v>
      </c>
      <c r="E35" s="20"/>
      <c r="F35" s="18">
        <v>6.0000000000000027</v>
      </c>
      <c r="G35" s="18">
        <v>-0.54056052262254228</v>
      </c>
      <c r="H35" s="18">
        <v>6.0000000000000027</v>
      </c>
      <c r="I35" s="18">
        <v>0.10965504921789759</v>
      </c>
      <c r="J35" s="20"/>
      <c r="K35" s="18">
        <v>6.0000000000000027</v>
      </c>
      <c r="L35" s="18">
        <v>-0.52394688097075548</v>
      </c>
      <c r="M35" s="18">
        <v>6.0000000000000027</v>
      </c>
      <c r="N35" s="18">
        <v>0.10710373854140613</v>
      </c>
      <c r="O35" s="20"/>
      <c r="P35" s="18">
        <v>6.0000000000000027</v>
      </c>
      <c r="Q35" s="18">
        <v>-0.52219824001602089</v>
      </c>
      <c r="R35" s="18">
        <v>6.0000000000000027</v>
      </c>
      <c r="S35" s="18">
        <v>0.10577292412596741</v>
      </c>
      <c r="T35" s="18"/>
      <c r="U35" s="18">
        <v>6.0000000000000027</v>
      </c>
      <c r="V35" s="18">
        <v>-0.52395583243258714</v>
      </c>
      <c r="W35" s="18">
        <v>6.0000000000000027</v>
      </c>
      <c r="X35" s="18">
        <v>0.10471814590494634</v>
      </c>
    </row>
    <row r="36" spans="1:24" x14ac:dyDescent="0.2">
      <c r="A36" s="18">
        <v>6.2000000000000028</v>
      </c>
      <c r="B36" s="18">
        <v>-0.32576098216418092</v>
      </c>
      <c r="C36" s="18">
        <v>6.2000000000000028</v>
      </c>
      <c r="D36" s="18">
        <v>-0.10556310025853176</v>
      </c>
      <c r="E36" s="20"/>
      <c r="F36" s="18">
        <v>6.2000000000000028</v>
      </c>
      <c r="G36" s="18">
        <v>-0.56034374931823072</v>
      </c>
      <c r="H36" s="18">
        <v>6.2000000000000028</v>
      </c>
      <c r="I36" s="18">
        <v>-8.9374538939095791E-2</v>
      </c>
      <c r="J36" s="20"/>
      <c r="K36" s="18">
        <v>6.2000000000000028</v>
      </c>
      <c r="L36" s="18">
        <v>-0.54156399927037779</v>
      </c>
      <c r="M36" s="18">
        <v>6.2000000000000028</v>
      </c>
      <c r="N36" s="18">
        <v>-9.2166681184045376E-2</v>
      </c>
      <c r="O36" s="20"/>
      <c r="P36" s="18">
        <v>6.2000000000000028</v>
      </c>
      <c r="Q36" s="18">
        <v>-0.53915362327913485</v>
      </c>
      <c r="R36" s="18">
        <v>6.2000000000000028</v>
      </c>
      <c r="S36" s="18">
        <v>-9.359227161680321E-2</v>
      </c>
      <c r="T36" s="18"/>
      <c r="U36" s="18">
        <v>6.2000000000000028</v>
      </c>
      <c r="V36" s="18">
        <v>-0.54061336548389871</v>
      </c>
      <c r="W36" s="18">
        <v>6.2000000000000028</v>
      </c>
      <c r="X36" s="18">
        <v>-9.4709531811813463E-2</v>
      </c>
    </row>
    <row r="37" spans="1:24" x14ac:dyDescent="0.2">
      <c r="A37" s="18">
        <v>6.400000000000003</v>
      </c>
      <c r="B37" s="18">
        <v>-0.33174785870853002</v>
      </c>
      <c r="C37" s="18">
        <v>6.400000000000003</v>
      </c>
      <c r="D37" s="18">
        <v>-0.30559541625983971</v>
      </c>
      <c r="E37" s="20"/>
      <c r="F37" s="18">
        <v>6.400000000000003</v>
      </c>
      <c r="G37" s="18">
        <v>-0.58047572139665782</v>
      </c>
      <c r="H37" s="18">
        <v>6.400000000000003</v>
      </c>
      <c r="I37" s="18">
        <v>-0.28836914233632355</v>
      </c>
      <c r="J37" s="20"/>
      <c r="K37" s="18">
        <v>6.400000000000003</v>
      </c>
      <c r="L37" s="18">
        <v>-0.55938482204480944</v>
      </c>
      <c r="M37" s="18">
        <v>6.400000000000003</v>
      </c>
      <c r="N37" s="18">
        <v>-0.29141897520940913</v>
      </c>
      <c r="O37" s="20"/>
      <c r="P37" s="18">
        <v>6.400000000000003</v>
      </c>
      <c r="Q37" s="18">
        <v>-0.5562603558999043</v>
      </c>
      <c r="R37" s="18">
        <v>6.400000000000003</v>
      </c>
      <c r="S37" s="18">
        <v>-0.29294452578096425</v>
      </c>
      <c r="T37" s="18"/>
      <c r="U37" s="18">
        <v>6.400000000000003</v>
      </c>
      <c r="V37" s="18">
        <v>-0.55739185489656395</v>
      </c>
      <c r="W37" s="18">
        <v>6.400000000000003</v>
      </c>
      <c r="X37" s="18">
        <v>-0.29412705739242034</v>
      </c>
    </row>
    <row r="38" spans="1:24" x14ac:dyDescent="0.2">
      <c r="A38" s="18">
        <v>6.6000000000000032</v>
      </c>
      <c r="B38" s="18">
        <v>-0.33773535578326469</v>
      </c>
      <c r="C38" s="18">
        <v>6.6000000000000032</v>
      </c>
      <c r="D38" s="18">
        <v>-0.50562770150461989</v>
      </c>
      <c r="E38" s="20"/>
      <c r="F38" s="18">
        <v>6.6000000000000032</v>
      </c>
      <c r="G38" s="18">
        <v>-0.60095103831619212</v>
      </c>
      <c r="H38" s="18">
        <v>6.6000000000000032</v>
      </c>
      <c r="I38" s="18">
        <v>-0.48732870019247992</v>
      </c>
      <c r="J38" s="20"/>
      <c r="K38" s="18">
        <v>6.6000000000000032</v>
      </c>
      <c r="L38" s="18">
        <v>-0.5774020876674395</v>
      </c>
      <c r="M38" s="18">
        <v>6.6000000000000032</v>
      </c>
      <c r="N38" s="18">
        <v>-0.49065359109849715</v>
      </c>
      <c r="O38" s="20"/>
      <c r="P38" s="18">
        <v>6.6000000000000032</v>
      </c>
      <c r="Q38" s="18">
        <v>-0.57351122461953774</v>
      </c>
      <c r="R38" s="18">
        <v>6.6000000000000032</v>
      </c>
      <c r="S38" s="18">
        <v>-0.49228434760226436</v>
      </c>
      <c r="T38" s="18"/>
      <c r="U38" s="18">
        <v>6.6000000000000032</v>
      </c>
      <c r="V38" s="18">
        <v>-0.57428440079357979</v>
      </c>
      <c r="W38" s="18">
        <v>6.6000000000000032</v>
      </c>
      <c r="X38" s="18">
        <v>-0.49353494217966176</v>
      </c>
    </row>
    <row r="39" spans="1:24" x14ac:dyDescent="0.2">
      <c r="A39" s="18">
        <v>6.8000000000000034</v>
      </c>
      <c r="B39" s="18">
        <v>-0.3437234699886963</v>
      </c>
      <c r="C39" s="18">
        <v>6.8000000000000034</v>
      </c>
      <c r="D39" s="18">
        <v>-0.70565995609271659</v>
      </c>
      <c r="E39" s="20"/>
      <c r="F39" s="18">
        <v>6.8000000000000034</v>
      </c>
      <c r="G39" s="18">
        <v>-0.62176439760576718</v>
      </c>
      <c r="H39" s="18">
        <v>6.8000000000000034</v>
      </c>
      <c r="I39" s="18">
        <v>-0.68625316853309359</v>
      </c>
      <c r="J39" s="20"/>
      <c r="K39" s="18">
        <v>6.8000000000000034</v>
      </c>
      <c r="L39" s="18">
        <v>-0.59560880170672448</v>
      </c>
      <c r="M39" s="18">
        <v>6.8000000000000034</v>
      </c>
      <c r="N39" s="18">
        <v>-0.68987097284312915</v>
      </c>
      <c r="O39" s="20"/>
      <c r="P39" s="18">
        <v>6.8000000000000034</v>
      </c>
      <c r="Q39" s="18">
        <v>-0.59089936675176713</v>
      </c>
      <c r="R39" s="18">
        <v>6.8000000000000034</v>
      </c>
      <c r="S39" s="18">
        <v>-0.69161223077447009</v>
      </c>
      <c r="T39" s="18"/>
      <c r="U39" s="18">
        <v>6.8000000000000034</v>
      </c>
      <c r="V39" s="18">
        <v>-0.59128450297321478</v>
      </c>
      <c r="W39" s="18">
        <v>6.8000000000000034</v>
      </c>
      <c r="X39" s="18">
        <v>-0.69293367468659772</v>
      </c>
    </row>
    <row r="40" spans="1:24" x14ac:dyDescent="0.2">
      <c r="A40" s="18">
        <v>7.0000000000000036</v>
      </c>
      <c r="B40" s="18">
        <v>-0.34971219812766524</v>
      </c>
      <c r="C40" s="18">
        <v>7.0000000000000036</v>
      </c>
      <c r="D40" s="18">
        <v>-0.90569218011794217</v>
      </c>
      <c r="E40" s="20"/>
      <c r="F40" s="18">
        <v>7.0000000000000036</v>
      </c>
      <c r="G40" s="18">
        <v>-0.64291059315063692</v>
      </c>
      <c r="H40" s="18">
        <v>7.0000000000000036</v>
      </c>
      <c r="I40" s="18">
        <v>-0.88514252015455996</v>
      </c>
      <c r="J40" s="20"/>
      <c r="K40" s="18">
        <v>7.0000000000000036</v>
      </c>
      <c r="L40" s="18">
        <v>-0.61399822711254992</v>
      </c>
      <c r="M40" s="18">
        <v>7.0000000000000036</v>
      </c>
      <c r="N40" s="18">
        <v>-0.8890715607522387</v>
      </c>
      <c r="O40" s="20"/>
      <c r="P40" s="18">
        <v>7.0000000000000036</v>
      </c>
      <c r="Q40" s="18">
        <v>-0.60841825314656772</v>
      </c>
      <c r="R40" s="18">
        <v>7.0000000000000036</v>
      </c>
      <c r="S40" s="18">
        <v>-0.89092865395141019</v>
      </c>
      <c r="T40" s="18"/>
      <c r="U40" s="18">
        <v>7.0000000000000036</v>
      </c>
      <c r="V40" s="18">
        <v>-0.60838603775463018</v>
      </c>
      <c r="W40" s="18">
        <v>7.0000000000000036</v>
      </c>
      <c r="X40" s="18">
        <v>-0.89232372172738472</v>
      </c>
    </row>
    <row r="41" spans="1:24" x14ac:dyDescent="0.2">
      <c r="A41" s="18">
        <v>7.2000000000000037</v>
      </c>
      <c r="B41" s="18">
        <v>-0.35570153719382314</v>
      </c>
      <c r="C41" s="18">
        <v>7.2000000000000037</v>
      </c>
      <c r="D41" s="18">
        <v>-1.1057243736684255</v>
      </c>
      <c r="E41" s="20"/>
      <c r="F41" s="18">
        <v>7.2000000000000037</v>
      </c>
      <c r="G41" s="18">
        <v>-0.6643845134234132</v>
      </c>
      <c r="H41" s="18">
        <v>7.2000000000000037</v>
      </c>
      <c r="I41" s="18">
        <v>-1.0839967437678306</v>
      </c>
      <c r="J41" s="20"/>
      <c r="K41" s="18">
        <v>7.2000000000000037</v>
      </c>
      <c r="L41" s="18">
        <v>-0.63256387470164543</v>
      </c>
      <c r="M41" s="18">
        <v>7.2000000000000037</v>
      </c>
      <c r="N41" s="18">
        <v>-1.0882557906883603</v>
      </c>
      <c r="O41" s="20"/>
      <c r="P41" s="18">
        <v>7.2000000000000037</v>
      </c>
      <c r="Q41" s="18">
        <v>-0.62606167192920892</v>
      </c>
      <c r="R41" s="18">
        <v>7.2000000000000037</v>
      </c>
      <c r="S41" s="18">
        <v>-1.0902340806394681</v>
      </c>
      <c r="T41" s="18"/>
      <c r="U41" s="18">
        <v>7.2000000000000037</v>
      </c>
      <c r="V41" s="18">
        <v>-0.62558323611730438</v>
      </c>
      <c r="W41" s="18">
        <v>7.2000000000000037</v>
      </c>
      <c r="X41" s="18">
        <v>-1.091705528940442</v>
      </c>
    </row>
    <row r="42" spans="1:24" x14ac:dyDescent="0.2">
      <c r="A42" s="18">
        <v>7.4000000000000039</v>
      </c>
      <c r="B42" s="18">
        <v>-0.36169148436059295</v>
      </c>
      <c r="C42" s="18">
        <v>7.4000000000000039</v>
      </c>
      <c r="D42" s="18">
        <v>-1.305756536826939</v>
      </c>
      <c r="E42" s="20"/>
      <c r="F42" s="18">
        <v>7.4000000000000039</v>
      </c>
      <c r="G42" s="18">
        <v>-0.686181139745206</v>
      </c>
      <c r="H42" s="18">
        <v>7.4000000000000039</v>
      </c>
      <c r="I42" s="18">
        <v>-1.2828158431774177</v>
      </c>
      <c r="J42" s="20"/>
      <c r="K42" s="18">
        <v>7.4000000000000039</v>
      </c>
      <c r="L42" s="18">
        <v>-0.65129949399530718</v>
      </c>
      <c r="M42" s="18">
        <v>7.4000000000000039</v>
      </c>
      <c r="N42" s="18">
        <v>-1.2874240933967847</v>
      </c>
      <c r="O42" s="20"/>
      <c r="P42" s="18">
        <v>7.4000000000000039</v>
      </c>
      <c r="Q42" s="18">
        <v>-0.64382371303387498</v>
      </c>
      <c r="R42" s="18">
        <v>7.4000000000000039</v>
      </c>
      <c r="S42" s="18">
        <v>-1.2895289591745416</v>
      </c>
      <c r="T42" s="18"/>
      <c r="U42" s="18">
        <v>7.4000000000000039</v>
      </c>
      <c r="V42" s="18">
        <v>-0.6428706631117842</v>
      </c>
      <c r="W42" s="18">
        <v>7.4000000000000039</v>
      </c>
      <c r="X42" s="18">
        <v>-1.291079521363665</v>
      </c>
    </row>
    <row r="43" spans="1:24" x14ac:dyDescent="0.2">
      <c r="A43" s="18">
        <v>7.6000000000000041</v>
      </c>
      <c r="B43" s="18">
        <v>-0.36768203697076862</v>
      </c>
      <c r="C43" s="18">
        <v>7.6000000000000041</v>
      </c>
      <c r="D43" s="18">
        <v>-1.5057886696712095</v>
      </c>
      <c r="E43" s="20"/>
      <c r="F43" s="18">
        <v>7.6000000000000041</v>
      </c>
      <c r="G43" s="18">
        <v>-0.70829554457648225</v>
      </c>
      <c r="H43" s="18">
        <v>7.6000000000000041</v>
      </c>
      <c r="I43" s="18">
        <v>-1.4815998364943694</v>
      </c>
      <c r="J43" s="20"/>
      <c r="K43" s="18">
        <v>7.6000000000000041</v>
      </c>
      <c r="L43" s="18">
        <v>-0.67019906439648569</v>
      </c>
      <c r="M43" s="18">
        <v>7.6000000000000041</v>
      </c>
      <c r="N43" s="18">
        <v>-1.4865768939193149</v>
      </c>
      <c r="O43" s="20"/>
      <c r="P43" s="18">
        <v>7.6000000000000041</v>
      </c>
      <c r="Q43" s="18">
        <v>-0.6616987534929456</v>
      </c>
      <c r="R43" s="18">
        <v>7.6000000000000041</v>
      </c>
      <c r="S43" s="18">
        <v>-1.488813722771859</v>
      </c>
      <c r="T43" s="18"/>
      <c r="U43" s="18">
        <v>7.6000000000000041</v>
      </c>
      <c r="V43" s="18">
        <v>-0.66024319846758639</v>
      </c>
      <c r="W43" s="18">
        <v>7.6000000000000041</v>
      </c>
      <c r="X43" s="18">
        <v>-1.4904461040494257</v>
      </c>
    </row>
    <row r="44" spans="1:24" x14ac:dyDescent="0.2">
      <c r="A44" s="18">
        <v>7.8000000000000043</v>
      </c>
      <c r="B44" s="18">
        <v>-0.3736731925267156</v>
      </c>
      <c r="C44" s="18">
        <v>7.8000000000000043</v>
      </c>
      <c r="D44" s="18">
        <v>-1.7058207722742083</v>
      </c>
      <c r="E44" s="20"/>
      <c r="F44" s="18">
        <v>7.8000000000000043</v>
      </c>
      <c r="G44" s="18">
        <v>-0.73072288983725953</v>
      </c>
      <c r="H44" s="18">
        <v>7.8000000000000043</v>
      </c>
      <c r="I44" s="18">
        <v>-1.6803487553819167</v>
      </c>
      <c r="J44" s="20"/>
      <c r="K44" s="18">
        <v>7.8000000000000043</v>
      </c>
      <c r="L44" s="18">
        <v>-0.6892567866937489</v>
      </c>
      <c r="M44" s="18">
        <v>7.8000000000000043</v>
      </c>
      <c r="N44" s="18">
        <v>-1.6857146110851871</v>
      </c>
      <c r="O44" s="20"/>
      <c r="P44" s="18">
        <v>7.8000000000000043</v>
      </c>
      <c r="Q44" s="18">
        <v>-0.67968144344491954</v>
      </c>
      <c r="R44" s="18">
        <v>7.8000000000000043</v>
      </c>
      <c r="S44" s="18">
        <v>-1.6880887896383185</v>
      </c>
      <c r="T44" s="18"/>
      <c r="U44" s="18">
        <v>7.8000000000000043</v>
      </c>
      <c r="V44" s="18">
        <v>-0.6776960183284001</v>
      </c>
      <c r="W44" s="18">
        <v>7.8000000000000043</v>
      </c>
      <c r="X44" s="18">
        <v>-1.6898056627088416</v>
      </c>
    </row>
    <row r="45" spans="1:24" x14ac:dyDescent="0.2">
      <c r="A45" s="18">
        <v>8.0000000000000036</v>
      </c>
      <c r="B45" s="18">
        <v>-0.37966494868113854</v>
      </c>
      <c r="C45" s="18">
        <v>8.0000000000000036</v>
      </c>
      <c r="D45" s="18">
        <v>-1.9058528447044247</v>
      </c>
      <c r="E45" s="20"/>
      <c r="F45" s="18">
        <v>8.0000000000000036</v>
      </c>
      <c r="G45" s="18">
        <v>-0.75345842525624418</v>
      </c>
      <c r="H45" s="18">
        <v>8.0000000000000036</v>
      </c>
      <c r="I45" s="18">
        <v>-1.8790626443325471</v>
      </c>
      <c r="J45" s="20"/>
      <c r="K45" s="18">
        <v>8.0000000000000036</v>
      </c>
      <c r="L45" s="18">
        <v>-0.70846707488006966</v>
      </c>
      <c r="M45" s="18">
        <v>8.0000000000000036</v>
      </c>
      <c r="N45" s="18">
        <v>-1.8848376570723067</v>
      </c>
      <c r="O45" s="20"/>
      <c r="P45" s="18">
        <v>8.0000000000000036</v>
      </c>
      <c r="Q45" s="18">
        <v>-0.69776669282576731</v>
      </c>
      <c r="R45" s="18">
        <v>8.0000000000000036</v>
      </c>
      <c r="S45" s="18">
        <v>-1.8873545631381643</v>
      </c>
      <c r="T45" s="18"/>
      <c r="U45" s="18">
        <v>8.0000000000000036</v>
      </c>
      <c r="V45" s="18">
        <v>-0.69522457804882298</v>
      </c>
      <c r="W45" s="18">
        <v>8.0000000000000036</v>
      </c>
      <c r="X45" s="18">
        <v>-1.889158564376338</v>
      </c>
    </row>
    <row r="46" spans="1:24" x14ac:dyDescent="0.2">
      <c r="A46" s="18">
        <v>8.2000000000000028</v>
      </c>
      <c r="B46" s="18">
        <v>-0.3856573032283836</v>
      </c>
      <c r="C46" s="18">
        <v>8.2000000000000028</v>
      </c>
      <c r="D46" s="18">
        <v>-2.1058848870261291</v>
      </c>
      <c r="E46" s="20"/>
      <c r="F46" s="18">
        <v>8.2000000000000028</v>
      </c>
      <c r="G46" s="18">
        <v>-0.77649748674851937</v>
      </c>
      <c r="H46" s="18">
        <v>8.2000000000000028</v>
      </c>
      <c r="I46" s="18">
        <v>-2.0777415599753009</v>
      </c>
      <c r="J46" s="20"/>
      <c r="K46" s="18">
        <v>8.2000000000000028</v>
      </c>
      <c r="L46" s="18">
        <v>-0.7278245482748128</v>
      </c>
      <c r="M46" s="18">
        <v>8.2000000000000028</v>
      </c>
      <c r="N46" s="18">
        <v>-2.0839464370325</v>
      </c>
      <c r="O46" s="20"/>
      <c r="P46" s="18">
        <v>8.2000000000000028</v>
      </c>
      <c r="Q46" s="18">
        <v>-0.71594965871021754</v>
      </c>
      <c r="R46" s="18">
        <v>8.2000000000000028</v>
      </c>
      <c r="S46" s="18">
        <v>-2.0866114320038442</v>
      </c>
      <c r="T46" s="18"/>
      <c r="U46" s="18">
        <v>8.2000000000000028</v>
      </c>
      <c r="V46" s="18">
        <v>-0.71282459599070125</v>
      </c>
      <c r="W46" s="18">
        <v>8.2000000000000028</v>
      </c>
      <c r="X46" s="18">
        <v>-2.0885051580868663</v>
      </c>
    </row>
    <row r="47" spans="1:24" x14ac:dyDescent="0.2">
      <c r="A47" s="18">
        <v>8.4000000000000021</v>
      </c>
      <c r="B47" s="18">
        <v>-0.39165025409624288</v>
      </c>
      <c r="C47" s="18">
        <v>8.4000000000000021</v>
      </c>
      <c r="D47" s="18">
        <v>-2.3059168992996111</v>
      </c>
      <c r="E47" s="20"/>
      <c r="F47" s="18">
        <v>8.4000000000000021</v>
      </c>
      <c r="G47" s="18">
        <v>-0.7998354948213876</v>
      </c>
      <c r="H47" s="18">
        <v>8.4000000000000021</v>
      </c>
      <c r="I47" s="18">
        <v>-2.2763855704121294</v>
      </c>
      <c r="J47" s="20"/>
      <c r="K47" s="18">
        <v>8.4000000000000021</v>
      </c>
      <c r="L47" s="18">
        <v>-0.74732402393771402</v>
      </c>
      <c r="M47" s="18">
        <v>8.4000000000000021</v>
      </c>
      <c r="N47" s="18">
        <v>-2.2830413487749648</v>
      </c>
      <c r="O47" s="20"/>
      <c r="P47" s="18">
        <v>8.4000000000000021</v>
      </c>
      <c r="Q47" s="18">
        <v>-0.73422573327111729</v>
      </c>
      <c r="R47" s="18">
        <v>8.4000000000000021</v>
      </c>
      <c r="S47" s="18">
        <v>-2.2858597705848172</v>
      </c>
      <c r="T47" s="18"/>
      <c r="U47" s="18">
        <v>8.4000000000000021</v>
      </c>
      <c r="V47" s="18">
        <v>-0.73049203826076337</v>
      </c>
      <c r="W47" s="18">
        <v>8.4000000000000021</v>
      </c>
      <c r="X47" s="18">
        <v>-2.2878457755593002</v>
      </c>
    </row>
    <row r="48" spans="1:24" x14ac:dyDescent="0.2">
      <c r="A48" s="18">
        <v>8.6000000000000014</v>
      </c>
      <c r="B48" s="18">
        <v>-0.39764379933823324</v>
      </c>
      <c r="C48" s="18">
        <v>8.6000000000000014</v>
      </c>
      <c r="D48" s="18">
        <v>-2.5059488815814133</v>
      </c>
      <c r="E48" s="20"/>
      <c r="F48" s="18">
        <v>8.6000000000000014</v>
      </c>
      <c r="G48" s="18">
        <v>-0.82346795300796893</v>
      </c>
      <c r="H48" s="18">
        <v>8.6000000000000014</v>
      </c>
      <c r="I48" s="18">
        <v>-2.4749947545822035</v>
      </c>
      <c r="J48" s="20"/>
      <c r="K48" s="18">
        <v>8.6000000000000014</v>
      </c>
      <c r="L48" s="18">
        <v>-0.76696050936404092</v>
      </c>
      <c r="M48" s="18">
        <v>8.6000000000000014</v>
      </c>
      <c r="N48" s="18">
        <v>-2.4821227825025862</v>
      </c>
      <c r="O48" s="20"/>
      <c r="P48" s="18">
        <v>8.6000000000000014</v>
      </c>
      <c r="Q48" s="18">
        <v>-0.75259053232656647</v>
      </c>
      <c r="R48" s="18">
        <v>8.6000000000000014</v>
      </c>
      <c r="S48" s="18">
        <v>-2.4850999391279029</v>
      </c>
      <c r="T48" s="18"/>
      <c r="U48" s="18">
        <v>8.6000000000000014</v>
      </c>
      <c r="V48" s="18">
        <v>-0.74822310433464512</v>
      </c>
      <c r="W48" s="18">
        <v>8.6000000000000014</v>
      </c>
      <c r="X48" s="18">
        <v>-2.4871807318805748</v>
      </c>
    </row>
    <row r="49" spans="1:24" x14ac:dyDescent="0.2">
      <c r="A49" s="18">
        <v>8.8000000000000007</v>
      </c>
      <c r="B49" s="18">
        <v>-0.40363793712632184</v>
      </c>
      <c r="C49" s="18">
        <v>8.8000000000000007</v>
      </c>
      <c r="D49" s="18">
        <v>-2.7059808339245452</v>
      </c>
      <c r="E49" s="20"/>
      <c r="F49" s="18">
        <v>8.8000000000000007</v>
      </c>
      <c r="G49" s="18">
        <v>-0.84739044632815397</v>
      </c>
      <c r="H49" s="18">
        <v>8.8000000000000007</v>
      </c>
      <c r="I49" s="18">
        <v>-2.6735692016530992</v>
      </c>
      <c r="J49" s="20"/>
      <c r="K49" s="18">
        <v>8.8000000000000007</v>
      </c>
      <c r="L49" s="18">
        <v>-0.78672919545051878</v>
      </c>
      <c r="M49" s="18">
        <v>8.8000000000000007</v>
      </c>
      <c r="N49" s="18">
        <v>-2.6811911205962033</v>
      </c>
      <c r="O49" s="20"/>
      <c r="P49" s="18">
        <v>8.8000000000000007</v>
      </c>
      <c r="Q49" s="18">
        <v>-0.77103988444600824</v>
      </c>
      <c r="R49" s="18">
        <v>8.8000000000000007</v>
      </c>
      <c r="S49" s="18">
        <v>-2.6843322840835313</v>
      </c>
      <c r="T49" s="18"/>
      <c r="U49" s="18">
        <v>8.8000000000000007</v>
      </c>
      <c r="V49" s="18">
        <v>-0.76601421351560928</v>
      </c>
      <c r="W49" s="18">
        <v>8.8000000000000007</v>
      </c>
      <c r="X49" s="18">
        <v>-2.6865103261859988</v>
      </c>
    </row>
    <row r="50" spans="1:24" x14ac:dyDescent="0.2">
      <c r="A50" s="18">
        <v>9</v>
      </c>
      <c r="B50" s="18">
        <v>-0.40963266574407176</v>
      </c>
      <c r="C50" s="18">
        <v>9</v>
      </c>
      <c r="D50" s="18">
        <v>-2.9060127563786886</v>
      </c>
      <c r="E50" s="20"/>
      <c r="F50" s="18">
        <v>9</v>
      </c>
      <c r="G50" s="18">
        <v>-0.87159863977651009</v>
      </c>
      <c r="H50" s="18">
        <v>9</v>
      </c>
      <c r="I50" s="18">
        <v>-2.8721090104378209</v>
      </c>
      <c r="J50" s="20"/>
      <c r="K50" s="18">
        <v>9</v>
      </c>
      <c r="L50" s="18">
        <v>-0.8066254497219788</v>
      </c>
      <c r="M50" s="18">
        <v>9</v>
      </c>
      <c r="N50" s="18">
        <v>-2.8802467374423033</v>
      </c>
      <c r="O50" s="20"/>
      <c r="P50" s="18">
        <v>9</v>
      </c>
      <c r="Q50" s="18">
        <v>-0.78956982058787017</v>
      </c>
      <c r="R50" s="18">
        <v>9</v>
      </c>
      <c r="S50" s="18">
        <v>-2.8835571384328782</v>
      </c>
      <c r="T50" s="18"/>
      <c r="U50" s="18">
        <v>9</v>
      </c>
      <c r="V50" s="18">
        <v>-0.78386199217928343</v>
      </c>
      <c r="W50" s="18">
        <v>9</v>
      </c>
      <c r="X50" s="18">
        <v>-2.8858348423319593</v>
      </c>
    </row>
    <row r="51" spans="1:24" x14ac:dyDescent="0.2">
      <c r="A51" s="18">
        <v>9.1999999999999993</v>
      </c>
      <c r="B51" s="18">
        <v>-0.4156279835801841</v>
      </c>
      <c r="C51" s="18">
        <v>9.1999999999999993</v>
      </c>
      <c r="D51" s="18">
        <v>-3.1060446489903892</v>
      </c>
      <c r="E51" s="20"/>
      <c r="F51" s="18">
        <v>9.1999999999999993</v>
      </c>
      <c r="G51" s="18">
        <v>-0.89608827683674075</v>
      </c>
      <c r="H51" s="18">
        <v>9.1999999999999993</v>
      </c>
      <c r="I51" s="18">
        <v>-3.0706142888366768</v>
      </c>
      <c r="J51" s="20"/>
      <c r="K51" s="18">
        <v>9.1999999999999993</v>
      </c>
      <c r="L51" s="18">
        <v>-0.8266448098090512</v>
      </c>
      <c r="M51" s="18">
        <v>9.1999999999999993</v>
      </c>
      <c r="N51" s="18">
        <v>-3.0792899992999931</v>
      </c>
      <c r="O51" s="20"/>
      <c r="P51" s="18">
        <v>9.1999999999999993</v>
      </c>
      <c r="Q51" s="18">
        <v>-0.80817656424269579</v>
      </c>
      <c r="R51" s="18">
        <v>9.1999999999999993</v>
      </c>
      <c r="S51" s="18">
        <v>-3.082774822031515</v>
      </c>
      <c r="T51" s="18"/>
      <c r="U51" s="18">
        <v>9.1999999999999993</v>
      </c>
      <c r="V51" s="18">
        <v>-0.80176326175858603</v>
      </c>
      <c r="W51" s="18">
        <v>9.1999999999999993</v>
      </c>
      <c r="X51" s="18">
        <v>-3.0851545495579011</v>
      </c>
    </row>
    <row r="52" spans="1:24" x14ac:dyDescent="0.2">
      <c r="A52" s="18">
        <v>9.3999999999999986</v>
      </c>
      <c r="B52" s="18">
        <v>-0.42162388912241305</v>
      </c>
      <c r="C52" s="18">
        <v>9.3999999999999986</v>
      </c>
      <c r="D52" s="18">
        <v>-3.306076511803238</v>
      </c>
      <c r="E52" s="20"/>
      <c r="F52" s="18">
        <v>9.3999999999999986</v>
      </c>
      <c r="G52" s="18">
        <v>-0.920855178022294</v>
      </c>
      <c r="H52" s="18">
        <v>9.3999999999999986</v>
      </c>
      <c r="I52" s="18">
        <v>-3.2690851533030365</v>
      </c>
      <c r="J52" s="20"/>
      <c r="K52" s="18">
        <v>9.3999999999999986</v>
      </c>
      <c r="L52" s="18">
        <v>-0.84678297716757822</v>
      </c>
      <c r="M52" s="18">
        <v>9.3999999999999986</v>
      </c>
      <c r="N52" s="18">
        <v>-3.2783212642034365</v>
      </c>
      <c r="O52" s="20"/>
      <c r="P52" s="18">
        <v>9.3999999999999986</v>
      </c>
      <c r="Q52" s="18">
        <v>-0.82685652205697946</v>
      </c>
      <c r="R52" s="18">
        <v>9.3999999999999986</v>
      </c>
      <c r="S52" s="18">
        <v>-3.2819856419656928</v>
      </c>
      <c r="T52" s="18"/>
      <c r="U52" s="18">
        <v>9.3999999999999986</v>
      </c>
      <c r="V52" s="18">
        <v>-0.81971502742568103</v>
      </c>
      <c r="W52" s="18">
        <v>9.3999999999999986</v>
      </c>
      <c r="X52" s="18">
        <v>-3.2844697031350458</v>
      </c>
    </row>
    <row r="53" spans="1:24" x14ac:dyDescent="0.2">
      <c r="A53" s="18">
        <v>9.5999999999999979</v>
      </c>
      <c r="B53" s="18">
        <v>-0.42762038095183308</v>
      </c>
      <c r="C53" s="18">
        <v>9.5999999999999979</v>
      </c>
      <c r="D53" s="18">
        <v>-3.5061083448580419</v>
      </c>
      <c r="E53" s="20"/>
      <c r="F53" s="18">
        <v>9.5999999999999979</v>
      </c>
      <c r="G53" s="18">
        <v>-0.94589523944272047</v>
      </c>
      <c r="H53" s="18">
        <v>9.5999999999999979</v>
      </c>
      <c r="I53" s="18">
        <v>-3.4675217283320547</v>
      </c>
      <c r="J53" s="20"/>
      <c r="K53" s="18">
        <v>9.5999999999999979</v>
      </c>
      <c r="L53" s="18">
        <v>-0.86703581103076333</v>
      </c>
      <c r="M53" s="18">
        <v>9.5999999999999979</v>
      </c>
      <c r="N53" s="18">
        <v>-3.4773408818962426</v>
      </c>
      <c r="O53" s="20"/>
      <c r="P53" s="18">
        <v>9.5999999999999979</v>
      </c>
      <c r="Q53" s="18">
        <v>-0.84560627491414031</v>
      </c>
      <c r="R53" s="18">
        <v>9.5999999999999979</v>
      </c>
      <c r="S53" s="18">
        <v>-3.4811898929178944</v>
      </c>
      <c r="T53" s="18"/>
      <c r="U53" s="18">
        <v>9.5999999999999979</v>
      </c>
      <c r="V53" s="18">
        <v>-0.83771446743032829</v>
      </c>
      <c r="W53" s="18">
        <v>9.5999999999999979</v>
      </c>
      <c r="X53" s="18">
        <v>-3.4837805449998194</v>
      </c>
    </row>
    <row r="54" spans="1:24" x14ac:dyDescent="0.2">
      <c r="A54" s="18">
        <v>9.7999999999999972</v>
      </c>
      <c r="B54" s="18">
        <v>-0.4336174577374366</v>
      </c>
      <c r="C54" s="18">
        <v>9.7999999999999972</v>
      </c>
      <c r="D54" s="18">
        <v>-3.7061401481929841</v>
      </c>
      <c r="E54" s="20"/>
      <c r="F54" s="18">
        <v>9.7999999999999972</v>
      </c>
      <c r="G54" s="18">
        <v>-0.97120443139537904</v>
      </c>
      <c r="H54" s="18">
        <v>9.7999999999999972</v>
      </c>
      <c r="I54" s="18">
        <v>-3.6659241459714753</v>
      </c>
      <c r="J54" s="20"/>
      <c r="K54" s="18">
        <v>9.7999999999999972</v>
      </c>
      <c r="L54" s="18">
        <v>-0.88739932258540233</v>
      </c>
      <c r="M54" s="18">
        <v>9.7999999999999972</v>
      </c>
      <c r="N54" s="18">
        <v>-3.6763491937946045</v>
      </c>
      <c r="O54" s="20"/>
      <c r="P54" s="18">
        <v>9.7999999999999972</v>
      </c>
      <c r="Q54" s="18">
        <v>-0.86442256945022167</v>
      </c>
      <c r="R54" s="18">
        <v>9.7999999999999972</v>
      </c>
      <c r="S54" s="18">
        <v>-3.6803878575386872</v>
      </c>
      <c r="T54" s="18"/>
      <c r="U54" s="18">
        <v>9.7999999999999972</v>
      </c>
      <c r="V54" s="18">
        <v>-0.8557589230563637</v>
      </c>
      <c r="W54" s="18">
        <v>9.7999999999999972</v>
      </c>
      <c r="X54" s="18">
        <v>-3.6830873043703889</v>
      </c>
    </row>
    <row r="55" spans="1:24" x14ac:dyDescent="0.2">
      <c r="A55" s="18">
        <v>9.9999999999999964</v>
      </c>
      <c r="B55" s="18">
        <v>-0.43961511823104438</v>
      </c>
      <c r="C55" s="18">
        <v>9.9999999999999964</v>
      </c>
      <c r="D55" s="18">
        <v>-3.9061719218437765</v>
      </c>
      <c r="E55" s="20"/>
      <c r="F55" s="18">
        <v>9.9999999999999964</v>
      </c>
      <c r="G55" s="18">
        <v>-0.99677879698209282</v>
      </c>
      <c r="H55" s="18">
        <v>9.9999999999999964</v>
      </c>
      <c r="I55" s="18">
        <v>-3.8642925453536536</v>
      </c>
      <c r="J55" s="20"/>
      <c r="K55" s="18">
        <v>9.9999999999999964</v>
      </c>
      <c r="L55" s="18">
        <v>-0.90786966936385805</v>
      </c>
      <c r="M55" s="18">
        <v>9.9999999999999964</v>
      </c>
      <c r="N55" s="18">
        <v>-3.8753465329762236</v>
      </c>
      <c r="O55" s="20"/>
      <c r="P55" s="18">
        <v>9.9999999999999964</v>
      </c>
      <c r="Q55" s="18">
        <v>-0.88330230998300585</v>
      </c>
      <c r="R55" s="18">
        <v>9.9999999999999964</v>
      </c>
      <c r="S55" s="18">
        <v>-3.8795798068223095</v>
      </c>
      <c r="T55" s="18"/>
      <c r="U55" s="18">
        <v>9.9999999999999964</v>
      </c>
      <c r="V55" s="18">
        <v>-0.87384588916027628</v>
      </c>
      <c r="W55" s="18">
        <v>9.9999999999999964</v>
      </c>
      <c r="X55" s="18">
        <v>-3.8823901983450808</v>
      </c>
    </row>
    <row r="56" spans="1:24" x14ac:dyDescent="0.2">
      <c r="A56" s="18">
        <v>10.499999999999996</v>
      </c>
      <c r="B56" s="18">
        <v>-0.45461181806798795</v>
      </c>
      <c r="C56" s="18">
        <v>10.499999999999996</v>
      </c>
      <c r="D56" s="18">
        <v>-4.4062512262458711</v>
      </c>
      <c r="E56" s="20"/>
      <c r="F56" s="18">
        <v>10.499999999999996</v>
      </c>
      <c r="G56" s="18">
        <v>-1.0618577732009162</v>
      </c>
      <c r="H56" s="18">
        <v>10.499999999999996</v>
      </c>
      <c r="I56" s="18">
        <v>-4.3600647869988389</v>
      </c>
      <c r="J56" s="20"/>
      <c r="K56" s="18">
        <v>10.499999999999996</v>
      </c>
      <c r="L56" s="18">
        <v>-0.95949673716881456</v>
      </c>
      <c r="M56" s="18">
        <v>10.499999999999996</v>
      </c>
      <c r="N56" s="18">
        <v>-4.3727932083694281</v>
      </c>
      <c r="O56" s="20"/>
      <c r="P56" s="18">
        <v>10.499999999999996</v>
      </c>
      <c r="Q56" s="18">
        <v>-0.93076634732933961</v>
      </c>
      <c r="R56" s="18">
        <v>10.499999999999996</v>
      </c>
      <c r="S56" s="18">
        <v>-4.3775344690250613</v>
      </c>
      <c r="T56" s="18"/>
      <c r="U56" s="18">
        <v>10.499999999999996</v>
      </c>
      <c r="V56" s="18">
        <v>-0.91923895942738476</v>
      </c>
      <c r="W56" s="18">
        <v>10.499999999999996</v>
      </c>
      <c r="X56" s="18">
        <v>-4.3806314082133344</v>
      </c>
    </row>
    <row r="57" spans="1:24" x14ac:dyDescent="0.2">
      <c r="A57" s="18">
        <v>10.999999999999996</v>
      </c>
      <c r="B57" s="18">
        <v>-0.46961214248914601</v>
      </c>
      <c r="C57" s="18">
        <v>10.999999999999996</v>
      </c>
      <c r="D57" s="18">
        <v>-4.9063303457923775</v>
      </c>
      <c r="E57" s="20"/>
      <c r="F57" s="18">
        <v>10.999999999999996</v>
      </c>
      <c r="G57" s="18">
        <v>-1.1285110046385087</v>
      </c>
      <c r="H57" s="18">
        <v>10.999999999999996</v>
      </c>
      <c r="I57" s="18">
        <v>-4.855627764839257</v>
      </c>
      <c r="J57" s="20"/>
      <c r="K57" s="18">
        <v>10.999999999999996</v>
      </c>
      <c r="L57" s="18">
        <v>-1.0117142647529305</v>
      </c>
      <c r="M57" s="18">
        <v>10.999999999999996</v>
      </c>
      <c r="N57" s="18">
        <v>-4.8701781747193946</v>
      </c>
      <c r="O57" s="20"/>
      <c r="P57" s="18">
        <v>10.999999999999996</v>
      </c>
      <c r="Q57" s="18">
        <v>-0.97856638661310447</v>
      </c>
      <c r="R57" s="18">
        <v>10.999999999999996</v>
      </c>
      <c r="S57" s="18">
        <v>-4.875456914396227</v>
      </c>
      <c r="T57" s="18"/>
      <c r="U57" s="18">
        <v>10.999999999999996</v>
      </c>
      <c r="V57" s="18">
        <v>-0.96484981001132675</v>
      </c>
      <c r="W57" s="18">
        <v>10.999999999999996</v>
      </c>
      <c r="X57" s="18">
        <v>-4.8788526530905374</v>
      </c>
    </row>
    <row r="58" spans="1:24" x14ac:dyDescent="0.2">
      <c r="A58" s="18">
        <v>11.499999999999996</v>
      </c>
      <c r="B58" s="18">
        <v>-0.48461607769186477</v>
      </c>
      <c r="C58" s="18">
        <v>11.499999999999996</v>
      </c>
      <c r="D58" s="18">
        <v>-5.4064092808711086</v>
      </c>
      <c r="E58" s="20"/>
      <c r="F58" s="18">
        <v>11.499999999999996</v>
      </c>
      <c r="G58" s="18">
        <v>-1.1966823084144633</v>
      </c>
      <c r="H58" s="18">
        <v>11.499999999999996</v>
      </c>
      <c r="I58" s="18">
        <v>-5.3509841222082848</v>
      </c>
      <c r="J58" s="20"/>
      <c r="K58" s="18">
        <v>11.499999999999996</v>
      </c>
      <c r="L58" s="18">
        <v>-1.0644729538872664</v>
      </c>
      <c r="M58" s="18">
        <v>11.499999999999996</v>
      </c>
      <c r="N58" s="18">
        <v>-5.3675059552984612</v>
      </c>
      <c r="O58" s="20"/>
      <c r="P58" s="18">
        <v>11.499999999999996</v>
      </c>
      <c r="Q58" s="18">
        <v>-1.0266652244928853</v>
      </c>
      <c r="R58" s="18">
        <v>11.499999999999996</v>
      </c>
      <c r="S58" s="18">
        <v>-5.3733505093637177</v>
      </c>
      <c r="T58" s="18"/>
      <c r="U58" s="18">
        <v>11.499999999999996</v>
      </c>
      <c r="V58" s="18">
        <v>-1.0106498695515838</v>
      </c>
      <c r="W58" s="18">
        <v>11.499999999999996</v>
      </c>
      <c r="X58" s="18">
        <v>-5.3770564642850998</v>
      </c>
    </row>
    <row r="59" spans="1:24" x14ac:dyDescent="0.2">
      <c r="A59" s="18">
        <v>11.999999999999996</v>
      </c>
      <c r="B59" s="18">
        <v>-0.49962361200622213</v>
      </c>
      <c r="C59" s="18">
        <v>11.999999999999996</v>
      </c>
      <c r="D59" s="18">
        <v>-5.9064880318061705</v>
      </c>
      <c r="E59" s="20"/>
      <c r="F59" s="18">
        <v>11.999999999999996</v>
      </c>
      <c r="G59" s="18">
        <v>-1.2663179933511433</v>
      </c>
      <c r="H59" s="18">
        <v>11.999999999999996</v>
      </c>
      <c r="I59" s="18">
        <v>-5.8461366721144028</v>
      </c>
      <c r="J59" s="20"/>
      <c r="K59" s="18">
        <v>11.999999999999996</v>
      </c>
      <c r="L59" s="18">
        <v>-1.1177279017036412</v>
      </c>
      <c r="M59" s="18">
        <v>11.999999999999996</v>
      </c>
      <c r="N59" s="18">
        <v>-5.8647807652375468</v>
      </c>
      <c r="O59" s="20"/>
      <c r="P59" s="18">
        <v>11.999999999999996</v>
      </c>
      <c r="Q59" s="18">
        <v>-1.0750300033595854</v>
      </c>
      <c r="R59" s="18">
        <v>11.999999999999996</v>
      </c>
      <c r="S59" s="18">
        <v>-5.8712182658163012</v>
      </c>
      <c r="T59" s="18"/>
      <c r="U59" s="18">
        <v>11.999999999999996</v>
      </c>
      <c r="V59" s="18">
        <v>-1.0566145176655388</v>
      </c>
      <c r="W59" s="18">
        <v>11.999999999999996</v>
      </c>
      <c r="X59" s="18">
        <v>-5.8752450414331197</v>
      </c>
    </row>
    <row r="60" spans="1:24" x14ac:dyDescent="0.2">
      <c r="A60" s="18">
        <v>12.499999999999996</v>
      </c>
      <c r="B60" s="18">
        <v>-0.51463473560027961</v>
      </c>
      <c r="C60" s="18">
        <v>12.499999999999996</v>
      </c>
      <c r="D60" s="18">
        <v>-6.4065665988667533</v>
      </c>
      <c r="E60" s="20"/>
      <c r="F60" s="18">
        <v>12.499999999999996</v>
      </c>
      <c r="G60" s="18">
        <v>-1.3373667445916115</v>
      </c>
      <c r="H60" s="18">
        <v>12.499999999999996</v>
      </c>
      <c r="I60" s="18">
        <v>-6.3410883665203839</v>
      </c>
      <c r="J60" s="20"/>
      <c r="K60" s="18">
        <v>12.499999999999996</v>
      </c>
      <c r="L60" s="18">
        <v>-1.1714382073540772</v>
      </c>
      <c r="M60" s="18">
        <v>12.499999999999996</v>
      </c>
      <c r="N60" s="18">
        <v>-6.3620065232180343</v>
      </c>
      <c r="O60" s="20"/>
      <c r="P60" s="18">
        <v>12.499999999999996</v>
      </c>
      <c r="Q60" s="18">
        <v>-1.1236317029295586</v>
      </c>
      <c r="R60" s="18">
        <v>12.499999999999996</v>
      </c>
      <c r="S60" s="18">
        <v>-6.3690628741933395</v>
      </c>
      <c r="T60" s="18"/>
      <c r="U60" s="18">
        <v>12.499999999999996</v>
      </c>
      <c r="V60" s="18">
        <v>-1.1027225381373924</v>
      </c>
      <c r="W60" s="18">
        <v>12.499999999999996</v>
      </c>
      <c r="X60" s="18">
        <v>-6.3734202937358599</v>
      </c>
    </row>
    <row r="61" spans="1:24" x14ac:dyDescent="0.2">
      <c r="A61" s="18">
        <v>12.999999999999996</v>
      </c>
      <c r="B61" s="18">
        <v>-0.52964944022604821</v>
      </c>
      <c r="C61" s="18">
        <v>12.999999999999996</v>
      </c>
      <c r="D61" s="18">
        <v>-6.9066449822746971</v>
      </c>
      <c r="E61" s="20"/>
      <c r="F61" s="18">
        <v>12.999999999999996</v>
      </c>
      <c r="G61" s="18">
        <v>-1.4097795133214177</v>
      </c>
      <c r="H61" s="18">
        <v>12.999999999999996</v>
      </c>
      <c r="I61" s="18">
        <v>-6.8358422690364575</v>
      </c>
      <c r="J61" s="20"/>
      <c r="K61" s="18">
        <v>12.999999999999996</v>
      </c>
      <c r="L61" s="18">
        <v>-1.2255666140394565</v>
      </c>
      <c r="M61" s="18">
        <v>12.999999999999996</v>
      </c>
      <c r="N61" s="18">
        <v>-6.8591868647770839</v>
      </c>
      <c r="O61" s="20"/>
      <c r="P61" s="18">
        <v>12.999999999999996</v>
      </c>
      <c r="Q61" s="18">
        <v>-1.1724446914517512</v>
      </c>
      <c r="R61" s="18">
        <v>12.999999999999996</v>
      </c>
      <c r="S61" s="18">
        <v>-6.8668867345203681</v>
      </c>
      <c r="T61" s="18"/>
      <c r="U61" s="18">
        <v>12.999999999999996</v>
      </c>
      <c r="V61" s="18">
        <v>-1.1489556478802687</v>
      </c>
      <c r="W61" s="18">
        <v>12.999999999999996</v>
      </c>
      <c r="X61" s="18">
        <v>-6.8715838766729558</v>
      </c>
    </row>
    <row r="62" spans="1:24" x14ac:dyDescent="0.2">
      <c r="A62" s="18">
        <v>13.499999999999996</v>
      </c>
      <c r="B62" s="18">
        <v>-0.54466771900052857</v>
      </c>
      <c r="C62" s="18">
        <v>13.499999999999996</v>
      </c>
      <c r="D62" s="18">
        <v>-7.4067231822110298</v>
      </c>
      <c r="E62" s="20"/>
      <c r="F62" s="18">
        <v>13.499999999999996</v>
      </c>
      <c r="G62" s="18">
        <v>-1.483509411373342</v>
      </c>
      <c r="H62" s="18">
        <v>13.499999999999996</v>
      </c>
      <c r="I62" s="18">
        <v>-7.3304015307008026</v>
      </c>
      <c r="J62" s="20"/>
      <c r="K62" s="18">
        <v>13.499999999999996</v>
      </c>
      <c r="L62" s="18">
        <v>-1.2800791832087939</v>
      </c>
      <c r="M62" s="18">
        <v>13.499999999999996</v>
      </c>
      <c r="N62" s="18">
        <v>-7.3563251566316419</v>
      </c>
      <c r="O62" s="20"/>
      <c r="P62" s="18">
        <v>13.499999999999996</v>
      </c>
      <c r="Q62" s="18">
        <v>-1.2214463295174125</v>
      </c>
      <c r="R62" s="18">
        <v>13.499999999999996</v>
      </c>
      <c r="S62" s="18">
        <v>-7.364691985233482</v>
      </c>
      <c r="T62" s="18"/>
      <c r="U62" s="18">
        <v>13.499999999999996</v>
      </c>
      <c r="V62" s="18">
        <v>-1.1952980911535369</v>
      </c>
      <c r="W62" s="18">
        <v>13.499999999999996</v>
      </c>
      <c r="X62" s="18">
        <v>-7.3697372245148012</v>
      </c>
    </row>
    <row r="63" spans="1:24" x14ac:dyDescent="0.2">
      <c r="A63" s="18">
        <v>13.999999999999996</v>
      </c>
      <c r="B63" s="18">
        <v>-0.55968956621696764</v>
      </c>
      <c r="C63" s="18">
        <v>13.999999999999996</v>
      </c>
      <c r="D63" s="18">
        <v>-7.9068011988215936</v>
      </c>
      <c r="E63" s="20"/>
      <c r="F63" s="18">
        <v>13.999999999999996</v>
      </c>
      <c r="G63" s="18">
        <v>-1.5585116105005528</v>
      </c>
      <c r="H63" s="18">
        <v>13.999999999999996</v>
      </c>
      <c r="I63" s="18">
        <v>-7.8247693685508217</v>
      </c>
      <c r="J63" s="20"/>
      <c r="K63" s="18">
        <v>13.999999999999996</v>
      </c>
      <c r="L63" s="18">
        <v>-1.3349449980207948</v>
      </c>
      <c r="M63" s="18">
        <v>13.999999999999996</v>
      </c>
      <c r="N63" s="18">
        <v>-7.8534245115563781</v>
      </c>
      <c r="O63" s="20"/>
      <c r="P63" s="18">
        <v>13.999999999999996</v>
      </c>
      <c r="Q63" s="18">
        <v>-1.2706166202888678</v>
      </c>
      <c r="R63" s="18">
        <v>13.999999999999996</v>
      </c>
      <c r="S63" s="18">
        <v>-7.8624805297411662</v>
      </c>
      <c r="T63" s="18"/>
      <c r="U63" s="18">
        <v>13.999999999999996</v>
      </c>
      <c r="V63" s="18">
        <v>-1.2417362899808932</v>
      </c>
      <c r="W63" s="18">
        <v>13.999999999999996</v>
      </c>
      <c r="X63" s="18">
        <v>-7.8678815789905929</v>
      </c>
    </row>
    <row r="64" spans="1:24" x14ac:dyDescent="0.2">
      <c r="A64" s="18">
        <v>14.499999999999996</v>
      </c>
      <c r="B64" s="18">
        <v>-0.57471497718214259</v>
      </c>
      <c r="C64" s="18">
        <v>14.499999999999996</v>
      </c>
      <c r="D64" s="18">
        <v>-8.406879032221898</v>
      </c>
      <c r="E64" s="20"/>
      <c r="F64" s="18">
        <v>14.499999999999996</v>
      </c>
      <c r="G64" s="18">
        <v>-1.6347432461102711</v>
      </c>
      <c r="H64" s="18">
        <v>14.499999999999996</v>
      </c>
      <c r="I64" s="18">
        <v>-8.3189490467160514</v>
      </c>
      <c r="J64" s="20"/>
      <c r="K64" s="18">
        <v>14.499999999999996</v>
      </c>
      <c r="L64" s="18">
        <v>-1.390135893423426</v>
      </c>
      <c r="M64" s="18">
        <v>14.499999999999996</v>
      </c>
      <c r="N64" s="18">
        <v>-8.3504878034560228</v>
      </c>
      <c r="O64" s="20"/>
      <c r="P64" s="18">
        <v>14.499999999999996</v>
      </c>
      <c r="Q64" s="18">
        <v>-1.3199379006935343</v>
      </c>
      <c r="R64" s="18">
        <v>14.499999999999996</v>
      </c>
      <c r="S64" s="18">
        <v>-8.3602540607462998</v>
      </c>
      <c r="T64" s="18"/>
      <c r="U64" s="18">
        <v>14.499999999999996</v>
      </c>
      <c r="V64" s="18">
        <v>-1.288258542973914</v>
      </c>
      <c r="W64" s="18">
        <v>14.499999999999996</v>
      </c>
      <c r="X64" s="18">
        <v>-8.3660180144769285</v>
      </c>
    </row>
    <row r="65" spans="1:24" x14ac:dyDescent="0.2">
      <c r="A65" s="18">
        <v>14.999999999999996</v>
      </c>
      <c r="B65" s="18">
        <v>-0.58974394807606367</v>
      </c>
      <c r="C65" s="18">
        <v>14.999999999999996</v>
      </c>
      <c r="D65" s="18">
        <v>-8.9069566825013098</v>
      </c>
      <c r="E65" s="20"/>
      <c r="F65" s="18">
        <v>14.999999999999996</v>
      </c>
      <c r="G65" s="18">
        <v>-1.7121633252568684</v>
      </c>
      <c r="H65" s="18">
        <v>14.999999999999996</v>
      </c>
      <c r="I65" s="18">
        <v>-8.812943859788497</v>
      </c>
      <c r="J65" s="20"/>
      <c r="K65" s="18">
        <v>14.999999999999996</v>
      </c>
      <c r="L65" s="18">
        <v>-1.4456262104473709</v>
      </c>
      <c r="M65" s="18">
        <v>14.999999999999996</v>
      </c>
      <c r="N65" s="18">
        <v>-8.8475176823575215</v>
      </c>
      <c r="O65" s="20"/>
      <c r="P65" s="18">
        <v>14.999999999999996</v>
      </c>
      <c r="Q65" s="18">
        <v>-1.3693945687725098</v>
      </c>
      <c r="R65" s="18">
        <v>14.999999999999996</v>
      </c>
      <c r="S65" s="18">
        <v>-8.8580140824014997</v>
      </c>
      <c r="T65" s="18"/>
      <c r="U65" s="18">
        <v>14.999999999999996</v>
      </c>
      <c r="V65" s="18">
        <v>-1.3348547658492589</v>
      </c>
      <c r="W65" s="18">
        <v>14.999999999999996</v>
      </c>
      <c r="X65" s="18">
        <v>-8.8641474600642631</v>
      </c>
    </row>
    <row r="66" spans="1:24" x14ac:dyDescent="0.2">
      <c r="A66" s="18">
        <v>15.499999999999996</v>
      </c>
      <c r="B66" s="18">
        <v>-0.60477647583098482</v>
      </c>
      <c r="C66" s="18">
        <v>15.499999999999996</v>
      </c>
      <c r="D66" s="18">
        <v>-9.4070341497266696</v>
      </c>
      <c r="E66" s="20"/>
      <c r="F66" s="18">
        <v>15.499999999999996</v>
      </c>
      <c r="G66" s="18">
        <v>-1.7907326387002567</v>
      </c>
      <c r="H66" s="18">
        <v>15.499999999999996</v>
      </c>
      <c r="I66" s="18">
        <v>-9.3067571182488678</v>
      </c>
      <c r="J66" s="20"/>
      <c r="K66" s="18">
        <v>15.499999999999996</v>
      </c>
      <c r="L66" s="18">
        <v>-1.5013925725275516</v>
      </c>
      <c r="M66" s="18">
        <v>15.499999999999996</v>
      </c>
      <c r="N66" s="18">
        <v>-9.3445165891157256</v>
      </c>
      <c r="O66" s="20"/>
      <c r="P66" s="18">
        <v>15.499999999999996</v>
      </c>
      <c r="Q66" s="18">
        <v>-1.4189728429399928</v>
      </c>
      <c r="R66" s="18">
        <v>15.499999999999996</v>
      </c>
      <c r="S66" s="18">
        <v>-9.3557619304038031</v>
      </c>
      <c r="T66" s="18"/>
      <c r="U66" s="18">
        <v>15.499999999999996</v>
      </c>
      <c r="V66" s="18">
        <v>-1.3815162678601229</v>
      </c>
      <c r="W66" s="18">
        <v>15.499999999999996</v>
      </c>
      <c r="X66" s="18">
        <v>-9.3622707188409127</v>
      </c>
    </row>
    <row r="67" spans="1:24" x14ac:dyDescent="0.2">
      <c r="A67" s="18">
        <v>15.999999999999996</v>
      </c>
      <c r="B67" s="18">
        <v>-0.61981255802703883</v>
      </c>
      <c r="C67" s="18">
        <v>15.999999999999996</v>
      </c>
      <c r="D67" s="18">
        <v>-9.9071114339453956</v>
      </c>
      <c r="E67" s="20"/>
      <c r="F67" s="18">
        <v>15.999999999999996</v>
      </c>
      <c r="G67" s="18">
        <v>-1.8704136768423978</v>
      </c>
      <c r="H67" s="18">
        <v>15.999999999999996</v>
      </c>
      <c r="I67" s="18">
        <v>-9.8003921357478276</v>
      </c>
      <c r="J67" s="20"/>
      <c r="K67" s="18">
        <v>15.999999999999996</v>
      </c>
      <c r="L67" s="18">
        <v>-1.5574136818653315</v>
      </c>
      <c r="M67" s="18">
        <v>15.999999999999996</v>
      </c>
      <c r="N67" s="18">
        <v>-9.8414867696810973</v>
      </c>
      <c r="O67" s="20"/>
      <c r="P67" s="18">
        <v>15.999999999999996</v>
      </c>
      <c r="Q67" s="18">
        <v>-1.4686605494095786</v>
      </c>
      <c r="R67" s="18">
        <v>15.999999999999996</v>
      </c>
      <c r="S67" s="18">
        <v>-9.8534987901546138</v>
      </c>
      <c r="T67" s="18"/>
      <c r="U67" s="18">
        <v>15.999999999999996</v>
      </c>
      <c r="V67" s="18">
        <v>-1.4282355591650542</v>
      </c>
      <c r="W67" s="18">
        <v>15.999999999999996</v>
      </c>
      <c r="X67" s="18">
        <v>-9.8603884847109757</v>
      </c>
    </row>
    <row r="68" spans="1:24" x14ac:dyDescent="0.2">
      <c r="A68" s="18">
        <v>16.499999999999996</v>
      </c>
      <c r="B68" s="18">
        <v>-0.63485219280218474</v>
      </c>
      <c r="C68" s="18">
        <v>16.499999999999996</v>
      </c>
      <c r="D68" s="18">
        <v>-10.407188535188189</v>
      </c>
      <c r="E68" s="20"/>
      <c r="F68" s="18">
        <v>16.499999999999996</v>
      </c>
      <c r="G68" s="18">
        <v>-1.9511705493617164</v>
      </c>
      <c r="H68" s="18">
        <v>16.499999999999996</v>
      </c>
      <c r="I68" s="18">
        <v>-10.293852218060138</v>
      </c>
      <c r="J68" s="20"/>
      <c r="K68" s="18">
        <v>16.499999999999996</v>
      </c>
      <c r="L68" s="18">
        <v>-1.6136701340243393</v>
      </c>
      <c r="M68" s="18">
        <v>16.499999999999996</v>
      </c>
      <c r="N68" s="18">
        <v>-10.338430288821543</v>
      </c>
      <c r="O68" s="20"/>
      <c r="P68" s="18">
        <v>16.499999999999996</v>
      </c>
      <c r="Q68" s="18">
        <v>-1.5184469344841107</v>
      </c>
      <c r="R68" s="18">
        <v>16.499999999999996</v>
      </c>
      <c r="S68" s="18">
        <v>-10.351225713121284</v>
      </c>
      <c r="T68" s="18"/>
      <c r="U68" s="18">
        <v>16.499999999999996</v>
      </c>
      <c r="V68" s="18">
        <v>-1.4750061848480456</v>
      </c>
      <c r="W68" s="18">
        <v>16.499999999999996</v>
      </c>
      <c r="X68" s="18">
        <v>-10.358501357036287</v>
      </c>
    </row>
    <row r="69" spans="1:24" x14ac:dyDescent="0.2">
      <c r="A69" s="18">
        <v>16.999999999999996</v>
      </c>
      <c r="B69" s="18">
        <v>-0.64989537877447001</v>
      </c>
      <c r="C69" s="18">
        <v>16.999999999999996</v>
      </c>
      <c r="D69" s="18">
        <v>-10.907265453471343</v>
      </c>
      <c r="E69" s="20"/>
      <c r="F69" s="18">
        <v>16.999999999999996</v>
      </c>
      <c r="G69" s="18">
        <v>-2.0329689083720885</v>
      </c>
      <c r="H69" s="18">
        <v>16.999999999999996</v>
      </c>
      <c r="I69" s="18">
        <v>-10.787140653546693</v>
      </c>
      <c r="J69" s="20"/>
      <c r="K69" s="18">
        <v>16.999999999999996</v>
      </c>
      <c r="L69" s="18">
        <v>-1.6701442491167258</v>
      </c>
      <c r="M69" s="18">
        <v>16.999999999999996</v>
      </c>
      <c r="N69" s="18">
        <v>-10.835349043225104</v>
      </c>
      <c r="O69" s="20"/>
      <c r="P69" s="18">
        <v>16.999999999999996</v>
      </c>
      <c r="Q69" s="18">
        <v>-1.5683224987943236</v>
      </c>
      <c r="R69" s="18">
        <v>16.999999999999996</v>
      </c>
      <c r="S69" s="18">
        <v>-10.848943631540427</v>
      </c>
      <c r="T69" s="18"/>
      <c r="U69" s="18">
        <v>16.999999999999996</v>
      </c>
      <c r="V69" s="18">
        <v>-1.5218225818984983</v>
      </c>
      <c r="W69" s="18">
        <v>16.999999999999996</v>
      </c>
      <c r="X69" s="18">
        <v>-10.856609853365507</v>
      </c>
    </row>
    <row r="70" spans="1:24" x14ac:dyDescent="0.2">
      <c r="A70" s="18">
        <v>17.499999999999996</v>
      </c>
      <c r="B70" s="18">
        <v>-0.66494211497488875</v>
      </c>
      <c r="C70" s="18">
        <v>17.499999999999996</v>
      </c>
      <c r="D70" s="18">
        <v>-11.407342188798758</v>
      </c>
      <c r="E70" s="20"/>
      <c r="F70" s="18">
        <v>17.499999999999996</v>
      </c>
      <c r="G70" s="18">
        <v>-2.1157758749398585</v>
      </c>
      <c r="H70" s="18">
        <v>17.499999999999996</v>
      </c>
      <c r="I70" s="18">
        <v>-11.280260704974907</v>
      </c>
      <c r="J70" s="20"/>
      <c r="K70" s="18">
        <v>17.499999999999996</v>
      </c>
      <c r="L70" s="18">
        <v>-1.7268199180855588</v>
      </c>
      <c r="M70" s="18">
        <v>17.499999999999996</v>
      </c>
      <c r="N70" s="18">
        <v>-11.332244773937537</v>
      </c>
      <c r="O70" s="20"/>
      <c r="P70" s="18">
        <v>17.499999999999996</v>
      </c>
      <c r="Q70" s="18">
        <v>-1.6182788509141373</v>
      </c>
      <c r="R70" s="18">
        <v>17.499999999999996</v>
      </c>
      <c r="S70" s="18">
        <v>-11.346653371602002</v>
      </c>
      <c r="T70" s="18"/>
      <c r="U70" s="18">
        <v>17.499999999999996</v>
      </c>
      <c r="V70" s="18">
        <v>-1.5686799559716369</v>
      </c>
      <c r="W70" s="18">
        <v>17.499999999999996</v>
      </c>
      <c r="X70" s="18">
        <v>-11.354714420486655</v>
      </c>
    </row>
    <row r="71" spans="1:24" x14ac:dyDescent="0.2">
      <c r="A71" s="18">
        <v>17.999999999999996</v>
      </c>
      <c r="B71" s="18">
        <v>-0.6799924007893442</v>
      </c>
      <c r="C71" s="18">
        <v>17.999999999999996</v>
      </c>
      <c r="D71" s="18">
        <v>-11.907418741163671</v>
      </c>
      <c r="E71" s="20"/>
      <c r="F71" s="18">
        <v>17.999999999999996</v>
      </c>
      <c r="G71" s="18">
        <v>-2.1995599687990057</v>
      </c>
      <c r="H71" s="18">
        <v>17.999999999999996</v>
      </c>
      <c r="I71" s="18">
        <v>-11.773215602562079</v>
      </c>
      <c r="J71" s="20"/>
      <c r="K71" s="18">
        <v>17.999999999999996</v>
      </c>
      <c r="L71" s="18">
        <v>-1.7836824627243681</v>
      </c>
      <c r="M71" s="18">
        <v>17.999999999999996</v>
      </c>
      <c r="N71" s="18">
        <v>-11.829119078110027</v>
      </c>
      <c r="O71" s="20"/>
      <c r="P71" s="18">
        <v>17.999999999999996</v>
      </c>
      <c r="Q71" s="18">
        <v>-1.668308578082669</v>
      </c>
      <c r="R71" s="18">
        <v>17.999999999999996</v>
      </c>
      <c r="S71" s="18">
        <v>-11.844355665248939</v>
      </c>
      <c r="T71" s="18"/>
      <c r="U71" s="18">
        <v>17.999999999999996</v>
      </c>
      <c r="V71" s="18">
        <v>-1.6155741751908033</v>
      </c>
      <c r="W71" s="18">
        <v>17.999999999999996</v>
      </c>
      <c r="X71" s="18">
        <v>-11.852815444013984</v>
      </c>
    </row>
    <row r="72" spans="1:24" x14ac:dyDescent="0.2">
      <c r="A72" s="18">
        <v>18.499999999999996</v>
      </c>
      <c r="B72" s="18">
        <v>-0.6950462359084344</v>
      </c>
      <c r="C72" s="18">
        <v>18.499999999999996</v>
      </c>
      <c r="D72" s="18">
        <v>-12.407495110550165</v>
      </c>
      <c r="E72" s="20"/>
      <c r="F72" s="18">
        <v>18.499999999999996</v>
      </c>
      <c r="G72" s="18">
        <v>-2.2842910411110675</v>
      </c>
      <c r="H72" s="18">
        <v>18.499999999999996</v>
      </c>
      <c r="I72" s="18">
        <v>-12.266008538119202</v>
      </c>
      <c r="J72" s="20"/>
      <c r="K72" s="18">
        <v>18.499999999999996</v>
      </c>
      <c r="L72" s="18">
        <v>-1.8407185081977924</v>
      </c>
      <c r="M72" s="18">
        <v>18.499999999999996</v>
      </c>
      <c r="N72" s="18">
        <v>-12.325973420048873</v>
      </c>
      <c r="O72" s="20"/>
      <c r="P72" s="18">
        <v>18.499999999999996</v>
      </c>
      <c r="Q72" s="18">
        <v>-1.7184051320295646</v>
      </c>
      <c r="R72" s="18">
        <v>18.499999999999996</v>
      </c>
      <c r="S72" s="18">
        <v>-12.34205116072066</v>
      </c>
      <c r="T72" s="18"/>
      <c r="U72" s="18">
        <v>18.499999999999996</v>
      </c>
      <c r="V72" s="18">
        <v>-1.662501678632649</v>
      </c>
      <c r="W72" s="18">
        <v>18.499999999999996</v>
      </c>
      <c r="X72" s="18">
        <v>-12.350913256696252</v>
      </c>
    </row>
    <row r="73" spans="1:24" x14ac:dyDescent="0.2">
      <c r="A73" s="18">
        <v>18.999999999999996</v>
      </c>
      <c r="B73" s="18">
        <v>-0.71010362028394758</v>
      </c>
      <c r="C73" s="18">
        <v>18.999999999999996</v>
      </c>
      <c r="D73" s="18">
        <v>-12.90757129693446</v>
      </c>
      <c r="E73" s="20"/>
      <c r="F73" s="18">
        <v>18.999999999999996</v>
      </c>
      <c r="G73" s="18">
        <v>-2.3699402101227642</v>
      </c>
      <c r="H73" s="18">
        <v>18.999999999999996</v>
      </c>
      <c r="I73" s="18">
        <v>-12.758642660184295</v>
      </c>
      <c r="J73" s="20"/>
      <c r="K73" s="18">
        <v>18.999999999999996</v>
      </c>
      <c r="L73" s="18">
        <v>-1.8979158669389959</v>
      </c>
      <c r="M73" s="18">
        <v>18.999999999999996</v>
      </c>
      <c r="N73" s="18">
        <v>-12.822809141571426</v>
      </c>
      <c r="O73" s="20"/>
      <c r="P73" s="18">
        <v>18.999999999999996</v>
      </c>
      <c r="Q73" s="18">
        <v>-1.768562728135378</v>
      </c>
      <c r="R73" s="18">
        <v>18.999999999999996</v>
      </c>
      <c r="S73" s="18">
        <v>-12.839740431961124</v>
      </c>
      <c r="T73" s="18"/>
      <c r="U73" s="18">
        <v>18.999999999999996</v>
      </c>
      <c r="V73" s="18">
        <v>-1.7094593974631422</v>
      </c>
      <c r="W73" s="18">
        <v>18.999999999999996</v>
      </c>
      <c r="X73" s="18">
        <v>-12.849008145611524</v>
      </c>
    </row>
    <row r="74" spans="1:24" x14ac:dyDescent="0.2">
      <c r="A74" s="18">
        <v>19.499999999999996</v>
      </c>
      <c r="B74" s="18">
        <v>-0.72516455409110414</v>
      </c>
      <c r="C74" s="18">
        <v>19.499999999999996</v>
      </c>
      <c r="D74" s="18">
        <v>-13.407647300286051</v>
      </c>
      <c r="E74" s="20"/>
      <c r="F74" s="18">
        <v>19.499999999999996</v>
      </c>
      <c r="G74" s="18">
        <v>-2.4564797995804075</v>
      </c>
      <c r="H74" s="18">
        <v>19.499999999999996</v>
      </c>
      <c r="I74" s="18">
        <v>-13.251121070045004</v>
      </c>
      <c r="J74" s="20"/>
      <c r="K74" s="18">
        <v>19.499999999999996</v>
      </c>
      <c r="L74" s="18">
        <v>-1.9552634329010505</v>
      </c>
      <c r="M74" s="18">
        <v>19.499999999999996</v>
      </c>
      <c r="N74" s="18">
        <v>-13.319627471682116</v>
      </c>
      <c r="O74" s="20"/>
      <c r="P74" s="18">
        <v>19.499999999999996</v>
      </c>
      <c r="Q74" s="18">
        <v>-1.8187762563661596</v>
      </c>
      <c r="R74" s="18">
        <v>19.499999999999996</v>
      </c>
      <c r="S74" s="18">
        <v>-13.337423987003641</v>
      </c>
      <c r="T74" s="18"/>
      <c r="U74" s="18">
        <v>19.499999999999996</v>
      </c>
      <c r="V74" s="18">
        <v>-1.7564446869738204</v>
      </c>
      <c r="W74" s="18">
        <v>19.499999999999996</v>
      </c>
      <c r="X74" s="18">
        <v>-13.347100358393805</v>
      </c>
    </row>
    <row r="75" spans="1:24" x14ac:dyDescent="0.2">
      <c r="A75" s="18">
        <v>19.999999999999996</v>
      </c>
      <c r="B75" s="18">
        <v>-0.74022903769571113</v>
      </c>
      <c r="C75" s="18">
        <v>19.999999999999996</v>
      </c>
      <c r="D75" s="18">
        <v>-13.907723120568685</v>
      </c>
      <c r="E75" s="20"/>
      <c r="F75" s="18">
        <v>19.999999999999996</v>
      </c>
      <c r="G75" s="18">
        <v>-2.5438832797661184</v>
      </c>
      <c r="H75" s="18">
        <v>19.999999999999996</v>
      </c>
      <c r="I75" s="18">
        <v>-13.743446818559814</v>
      </c>
      <c r="J75" s="20"/>
      <c r="K75" s="18">
        <v>19.999999999999996</v>
      </c>
      <c r="L75" s="18">
        <v>-2.0127510852317396</v>
      </c>
      <c r="M75" s="18">
        <v>19.999999999999996</v>
      </c>
      <c r="N75" s="18">
        <v>-13.816429535589272</v>
      </c>
      <c r="O75" s="20"/>
      <c r="P75" s="18">
        <v>19.999999999999996</v>
      </c>
      <c r="Q75" s="18">
        <v>-1.8690412026044172</v>
      </c>
      <c r="R75" s="18">
        <v>19.999999999999996</v>
      </c>
      <c r="S75" s="18">
        <v>-13.835102275436029</v>
      </c>
      <c r="T75" s="18"/>
      <c r="U75" s="18">
        <v>19.999999999999996</v>
      </c>
      <c r="V75" s="18">
        <v>-1.8034552680101767</v>
      </c>
      <c r="W75" s="18">
        <v>19.999999999999996</v>
      </c>
      <c r="X75" s="18">
        <v>-13.845190108618901</v>
      </c>
    </row>
    <row r="76" spans="1:24" x14ac:dyDescent="0.2">
      <c r="A76" s="18">
        <v>20.499999999999996</v>
      </c>
      <c r="B76" s="18">
        <v>-0.75529707162550219</v>
      </c>
      <c r="C76" s="18">
        <v>20.499999999999996</v>
      </c>
      <c r="D76" s="18">
        <v>-14.407798757741226</v>
      </c>
      <c r="E76" s="20"/>
      <c r="F76" s="18">
        <v>20.499999999999996</v>
      </c>
      <c r="G76" s="18">
        <v>-2.6321252110266196</v>
      </c>
      <c r="H76" s="18">
        <v>20.499999999999996</v>
      </c>
      <c r="I76" s="18">
        <v>-14.235622903695978</v>
      </c>
      <c r="J76" s="20"/>
      <c r="K76" s="18">
        <v>20.499999999999996</v>
      </c>
      <c r="L76" s="18">
        <v>-2.0703696005250958</v>
      </c>
      <c r="M76" s="18">
        <v>20.499999999999996</v>
      </c>
      <c r="N76" s="18">
        <v>-14.313216363088362</v>
      </c>
      <c r="O76" s="20"/>
      <c r="P76" s="18">
        <v>20.499999999999996</v>
      </c>
      <c r="Q76" s="18">
        <v>-1.9193535791600924</v>
      </c>
      <c r="R76" s="18">
        <v>20.499999999999996</v>
      </c>
      <c r="S76" s="18">
        <v>-14.332775695041049</v>
      </c>
      <c r="T76" s="18"/>
      <c r="U76" s="18">
        <v>20.499999999999996</v>
      </c>
      <c r="V76" s="18">
        <v>-1.8504891764929041</v>
      </c>
      <c r="W76" s="18">
        <v>20.499999999999996</v>
      </c>
      <c r="X76" s="18">
        <v>-14.343277580460876</v>
      </c>
    </row>
    <row r="77" spans="1:24" x14ac:dyDescent="0.2">
      <c r="A77" s="18">
        <v>20.999999999999996</v>
      </c>
      <c r="B77" s="18">
        <v>-0.77036865654502884</v>
      </c>
      <c r="C77" s="18">
        <v>20.999999999999996</v>
      </c>
      <c r="D77" s="18">
        <v>-14.907874211758401</v>
      </c>
      <c r="E77" s="20"/>
      <c r="F77" s="18">
        <v>20.999999999999996</v>
      </c>
      <c r="G77" s="18">
        <v>-2.7211811896709013</v>
      </c>
      <c r="H77" s="18">
        <v>20.999999999999996</v>
      </c>
      <c r="I77" s="18">
        <v>-14.72765226871023</v>
      </c>
      <c r="J77" s="20"/>
      <c r="K77" s="18">
        <v>20.999999999999996</v>
      </c>
      <c r="L77" s="18">
        <v>-2.1281105728791965</v>
      </c>
      <c r="M77" s="18">
        <v>20.999999999999996</v>
      </c>
      <c r="N77" s="18">
        <v>-14.80998889634067</v>
      </c>
      <c r="O77" s="20"/>
      <c r="P77" s="18">
        <v>20.999999999999996</v>
      </c>
      <c r="Q77" s="18">
        <v>-1.9697098633876797</v>
      </c>
      <c r="R77" s="18">
        <v>20.999999999999996</v>
      </c>
      <c r="S77" s="18">
        <v>-14.830444597698669</v>
      </c>
      <c r="T77" s="18"/>
      <c r="U77" s="18">
        <v>20.999999999999996</v>
      </c>
      <c r="V77" s="18">
        <v>-1.8975447199125741</v>
      </c>
      <c r="W77" s="18">
        <v>20.999999999999996</v>
      </c>
      <c r="X77" s="18">
        <v>-14.841362932716386</v>
      </c>
    </row>
    <row r="78" spans="1:24" x14ac:dyDescent="0.2">
      <c r="A78" s="18">
        <v>21.499999999999996</v>
      </c>
      <c r="B78" s="18">
        <v>-0.78544379323354929</v>
      </c>
      <c r="C78" s="18">
        <v>21.499999999999996</v>
      </c>
      <c r="D78" s="18">
        <v>-15.407949482571462</v>
      </c>
      <c r="E78" s="20"/>
      <c r="F78" s="18">
        <v>21.499999999999996</v>
      </c>
      <c r="G78" s="18">
        <v>-2.8110277961183749</v>
      </c>
      <c r="H78" s="18">
        <v>21.499999999999996</v>
      </c>
      <c r="I78" s="18">
        <v>-15.21953780090557</v>
      </c>
      <c r="J78" s="20"/>
      <c r="K78" s="18">
        <v>21.499999999999996</v>
      </c>
      <c r="L78" s="18">
        <v>-2.1859663410590131</v>
      </c>
      <c r="M78" s="18">
        <v>21.499999999999996</v>
      </c>
      <c r="N78" s="18">
        <v>-15.306747997078491</v>
      </c>
      <c r="O78" s="20"/>
      <c r="P78" s="18">
        <v>21.499999999999996</v>
      </c>
      <c r="Q78" s="18">
        <v>-2.0201069434613497</v>
      </c>
      <c r="R78" s="18">
        <v>21.499999999999996</v>
      </c>
      <c r="S78" s="18">
        <v>-15.328109294628764</v>
      </c>
      <c r="T78" s="18"/>
      <c r="U78" s="18">
        <v>21.499999999999996</v>
      </c>
      <c r="V78" s="18">
        <v>-1.9446204398332738</v>
      </c>
      <c r="W78" s="18">
        <v>21.499999999999996</v>
      </c>
      <c r="X78" s="18">
        <v>-15.339446302281537</v>
      </c>
    </row>
    <row r="79" spans="1:24" x14ac:dyDescent="0.2">
      <c r="A79" s="18">
        <v>21.999999999999996</v>
      </c>
      <c r="B79" s="18">
        <v>-0.80052248256542569</v>
      </c>
      <c r="C79" s="18">
        <v>21.999999999999996</v>
      </c>
      <c r="D79" s="18">
        <v>-15.908024570128783</v>
      </c>
      <c r="E79" s="20"/>
      <c r="F79" s="18">
        <v>21.999999999999996</v>
      </c>
      <c r="G79" s="18">
        <v>-2.9016425451842562</v>
      </c>
      <c r="H79" s="18">
        <v>21.999999999999996</v>
      </c>
      <c r="I79" s="18">
        <v>-15.711282330903954</v>
      </c>
      <c r="J79" s="20"/>
      <c r="K79" s="18">
        <v>21.999999999999996</v>
      </c>
      <c r="L79" s="18">
        <v>-2.2439299221260911</v>
      </c>
      <c r="M79" s="18">
        <v>21.999999999999996</v>
      </c>
      <c r="N79" s="18">
        <v>-15.803494453269018</v>
      </c>
      <c r="O79" s="20"/>
      <c r="P79" s="18">
        <v>21.999999999999996</v>
      </c>
      <c r="Q79" s="18">
        <v>-2.0705420704708981</v>
      </c>
      <c r="R79" s="18">
        <v>21.999999999999996</v>
      </c>
      <c r="S79" s="18">
        <v>-15.825770061045285</v>
      </c>
      <c r="T79" s="18"/>
      <c r="U79" s="18">
        <v>21.999999999999996</v>
      </c>
      <c r="V79" s="18">
        <v>-1.991715079574168</v>
      </c>
      <c r="W79" s="18">
        <v>21.999999999999996</v>
      </c>
      <c r="X79" s="18">
        <v>-15.837527807154951</v>
      </c>
    </row>
    <row r="80" spans="1:24" x14ac:dyDescent="0.2">
      <c r="A80" s="18">
        <v>22.499999999999996</v>
      </c>
      <c r="B80" s="18">
        <v>-0.8156047254925971</v>
      </c>
      <c r="C80" s="18">
        <v>22.499999999999996</v>
      </c>
      <c r="D80" s="18">
        <v>-16.408099474376375</v>
      </c>
      <c r="E80" s="20"/>
      <c r="F80" s="18">
        <v>22.499999999999996</v>
      </c>
      <c r="G80" s="18">
        <v>-2.9930038383937951</v>
      </c>
      <c r="H80" s="18">
        <v>22.499999999999996</v>
      </c>
      <c r="I80" s="18">
        <v>-16.20288863238072</v>
      </c>
      <c r="J80" s="20"/>
      <c r="K80" s="18">
        <v>22.499999999999996</v>
      </c>
      <c r="L80" s="18">
        <v>-2.3019949509540618</v>
      </c>
      <c r="M80" s="18">
        <v>22.499999999999996</v>
      </c>
      <c r="N80" s="18">
        <v>-16.300228985269538</v>
      </c>
      <c r="O80" s="20"/>
      <c r="P80" s="18">
        <v>22.499999999999996</v>
      </c>
      <c r="Q80" s="18">
        <v>-2.1210128160992778</v>
      </c>
      <c r="R80" s="18">
        <v>22.499999999999996</v>
      </c>
      <c r="S80" s="18">
        <v>-16.323427140285972</v>
      </c>
      <c r="T80" s="18"/>
      <c r="U80" s="18">
        <v>22.499999999999996</v>
      </c>
      <c r="V80" s="18">
        <v>-2.0388275563529259</v>
      </c>
      <c r="W80" s="18">
        <v>22.499999999999996</v>
      </c>
      <c r="X80" s="18">
        <v>-16.335607549031025</v>
      </c>
    </row>
    <row r="81" spans="1:24" x14ac:dyDescent="0.2">
      <c r="A81" s="18">
        <v>22.999999999999996</v>
      </c>
      <c r="B81" s="18">
        <v>-0.83069052302874258</v>
      </c>
      <c r="C81" s="18">
        <v>22.999999999999996</v>
      </c>
      <c r="D81" s="18">
        <v>-16.908174195258365</v>
      </c>
      <c r="E81" s="20"/>
      <c r="F81" s="18">
        <v>22.999999999999996</v>
      </c>
      <c r="G81" s="18">
        <v>-3.0850909182216983</v>
      </c>
      <c r="H81" s="18">
        <v>22.999999999999996</v>
      </c>
      <c r="I81" s="18">
        <v>-16.694359422211953</v>
      </c>
      <c r="J81" s="20"/>
      <c r="K81" s="18">
        <v>22.999999999999996</v>
      </c>
      <c r="L81" s="18">
        <v>-2.360155625101036</v>
      </c>
      <c r="M81" s="18">
        <v>22.999999999999996</v>
      </c>
      <c r="N81" s="18">
        <v>-16.796952251506248</v>
      </c>
      <c r="O81" s="20"/>
      <c r="P81" s="18">
        <v>22.999999999999996</v>
      </c>
      <c r="Q81" s="18">
        <v>-2.1715170352288804</v>
      </c>
      <c r="R81" s="18">
        <v>22.999999999999996</v>
      </c>
      <c r="S81" s="18">
        <v>-16.821080747475197</v>
      </c>
      <c r="T81" s="18"/>
      <c r="U81" s="18">
        <v>22.999999999999996</v>
      </c>
      <c r="V81" s="18">
        <v>-2.0859569372739717</v>
      </c>
      <c r="W81" s="18">
        <v>22.999999999999996</v>
      </c>
      <c r="X81" s="18">
        <v>-16.833685615538883</v>
      </c>
    </row>
    <row r="82" spans="1:24" x14ac:dyDescent="0.2">
      <c r="A82" s="18">
        <v>23.499999999999996</v>
      </c>
      <c r="B82" s="18">
        <v>-0.84577987623478235</v>
      </c>
      <c r="C82" s="18">
        <v>23.499999999999996</v>
      </c>
      <c r="D82" s="18">
        <v>-17.408248732717443</v>
      </c>
      <c r="E82" s="20"/>
      <c r="F82" s="18">
        <v>23.499999999999996</v>
      </c>
      <c r="G82" s="18">
        <v>-3.1778838241575538</v>
      </c>
      <c r="H82" s="18">
        <v>23.499999999999996</v>
      </c>
      <c r="I82" s="18">
        <v>-17.185697360990918</v>
      </c>
      <c r="J82" s="20"/>
      <c r="K82" s="18">
        <v>23.499999999999996</v>
      </c>
      <c r="L82" s="18">
        <v>-2.4184066545572289</v>
      </c>
      <c r="M82" s="18">
        <v>23.499999999999996</v>
      </c>
      <c r="N82" s="18">
        <v>-17.293664853708446</v>
      </c>
      <c r="O82" s="20"/>
      <c r="P82" s="18">
        <v>23.499999999999996</v>
      </c>
      <c r="Q82" s="18">
        <v>-2.2220528329000251</v>
      </c>
      <c r="R82" s="18">
        <v>23.499999999999996</v>
      </c>
      <c r="S82" s="18">
        <v>-17.31873107277163</v>
      </c>
      <c r="T82" s="18"/>
      <c r="U82" s="18">
        <v>23.499999999999996</v>
      </c>
      <c r="V82" s="18">
        <v>-2.1331024186298331</v>
      </c>
      <c r="W82" s="18">
        <v>23.499999999999996</v>
      </c>
      <c r="X82" s="18">
        <v>-17.331762082175182</v>
      </c>
    </row>
    <row r="83" spans="1:24" x14ac:dyDescent="0.2">
      <c r="A83" s="18">
        <v>23.999999999999996</v>
      </c>
      <c r="B83" s="18">
        <v>-0.86087278620540231</v>
      </c>
      <c r="C83" s="18">
        <v>23.999999999999996</v>
      </c>
      <c r="D83" s="18">
        <v>-17.908323086695241</v>
      </c>
      <c r="E83" s="20"/>
      <c r="F83" s="18">
        <v>23.999999999999996</v>
      </c>
      <c r="G83" s="18">
        <v>-3.2713633505023783</v>
      </c>
      <c r="H83" s="18">
        <v>23.999999999999996</v>
      </c>
      <c r="I83" s="18">
        <v>-17.67690505387414</v>
      </c>
      <c r="J83" s="20"/>
      <c r="K83" s="18">
        <v>23.999999999999996</v>
      </c>
      <c r="L83" s="18">
        <v>-2.476743215929166</v>
      </c>
      <c r="M83" s="18">
        <v>23.999999999999996</v>
      </c>
      <c r="N83" s="18">
        <v>-17.790367341728853</v>
      </c>
      <c r="O83" s="20"/>
      <c r="P83" s="18">
        <v>23.999999999999996</v>
      </c>
      <c r="Q83" s="18">
        <v>-2.2726185351124251</v>
      </c>
      <c r="R83" s="18">
        <v>23.999999999999996</v>
      </c>
      <c r="S83" s="18">
        <v>-17.816378284247005</v>
      </c>
      <c r="T83" s="18"/>
      <c r="U83" s="18">
        <v>23.999999999999996</v>
      </c>
      <c r="V83" s="18">
        <v>-2.1802633080573548</v>
      </c>
      <c r="W83" s="18">
        <v>23.999999999999996</v>
      </c>
      <c r="X83" s="18">
        <v>-17.829837013972444</v>
      </c>
    </row>
    <row r="84" spans="1:24" x14ac:dyDescent="0.2">
      <c r="A84" s="18">
        <v>24.499999999999996</v>
      </c>
      <c r="B84" s="18">
        <v>-0.87596925405630066</v>
      </c>
      <c r="C84" s="18">
        <v>24.499999999999996</v>
      </c>
      <c r="D84" s="18">
        <v>-18.408397257132744</v>
      </c>
      <c r="E84" s="20"/>
      <c r="F84" s="18">
        <v>24.499999999999996</v>
      </c>
      <c r="G84" s="18">
        <v>-3.3655110058055038</v>
      </c>
      <c r="H84" s="18">
        <v>24.499999999999996</v>
      </c>
      <c r="I84" s="18">
        <v>-18.167985051721807</v>
      </c>
      <c r="J84" s="20"/>
      <c r="K84" s="18">
        <v>24.499999999999996</v>
      </c>
      <c r="L84" s="18">
        <v>-2.5351609106609101</v>
      </c>
      <c r="M84" s="18">
        <v>24.499999999999996</v>
      </c>
      <c r="N84" s="18">
        <v>-18.287060217979668</v>
      </c>
      <c r="O84" s="20"/>
      <c r="P84" s="18">
        <v>24.499999999999996</v>
      </c>
      <c r="Q84" s="18">
        <v>-2.3232126630198198</v>
      </c>
      <c r="R84" s="18">
        <v>24.499999999999996</v>
      </c>
      <c r="S84" s="18">
        <v>-18.31402253043732</v>
      </c>
      <c r="T84" s="18"/>
      <c r="U84" s="18">
        <v>24.499999999999996</v>
      </c>
      <c r="V84" s="18">
        <v>-2.2274390091538372</v>
      </c>
      <c r="W84" s="18">
        <v>24.499999999999996</v>
      </c>
      <c r="X84" s="18">
        <v>-18.327910466938999</v>
      </c>
    </row>
    <row r="85" spans="1:24" x14ac:dyDescent="0.2">
      <c r="A85" s="18">
        <v>24.999999999999996</v>
      </c>
      <c r="B85" s="18">
        <v>-0.89106928091187909</v>
      </c>
      <c r="C85" s="18">
        <v>24.999999999999996</v>
      </c>
      <c r="D85" s="18">
        <v>-18.908471243970649</v>
      </c>
      <c r="E85" s="20"/>
      <c r="F85" s="18">
        <v>24.999999999999996</v>
      </c>
      <c r="G85" s="18">
        <v>-3.4603089738549273</v>
      </c>
      <c r="H85" s="18">
        <v>24.999999999999996</v>
      </c>
      <c r="I85" s="18">
        <v>-18.658939852500701</v>
      </c>
      <c r="J85" s="20"/>
      <c r="K85" s="18">
        <v>24.999999999999996</v>
      </c>
      <c r="L85" s="18">
        <v>-2.5936557269282892</v>
      </c>
      <c r="M85" s="18">
        <v>24.999999999999996</v>
      </c>
      <c r="N85" s="18">
        <v>-18.783743941512597</v>
      </c>
      <c r="O85" s="20"/>
      <c r="P85" s="18">
        <v>24.999999999999996</v>
      </c>
      <c r="Q85" s="18">
        <v>-2.3738339101203945</v>
      </c>
      <c r="R85" s="18">
        <v>24.999999999999996</v>
      </c>
      <c r="S85" s="18">
        <v>-18.811663942603449</v>
      </c>
      <c r="T85" s="18"/>
      <c r="U85" s="18">
        <v>24.999999999999996</v>
      </c>
      <c r="V85" s="18">
        <v>-2.2746290082127074</v>
      </c>
      <c r="W85" s="18">
        <v>24.999999999999996</v>
      </c>
      <c r="X85" s="18">
        <v>-18.82598248930179</v>
      </c>
    </row>
    <row r="86" spans="1:24" x14ac:dyDescent="0.2">
      <c r="A86" s="18">
        <v>25.499999999999996</v>
      </c>
      <c r="B86" s="18">
        <v>-0.90617286789310769</v>
      </c>
      <c r="C86" s="18">
        <v>25.499999999999996</v>
      </c>
      <c r="D86" s="18">
        <v>-19.408545047149733</v>
      </c>
      <c r="E86" s="20"/>
      <c r="F86" s="18">
        <v>25.499999999999996</v>
      </c>
      <c r="G86" s="18">
        <v>-3.5557400761379756</v>
      </c>
      <c r="H86" s="18">
        <v>25.499999999999996</v>
      </c>
      <c r="I86" s="18">
        <v>-19.149771902921408</v>
      </c>
      <c r="J86" s="20"/>
      <c r="K86" s="18">
        <v>25.499999999999996</v>
      </c>
      <c r="L86" s="18">
        <v>-2.6522240048743941</v>
      </c>
      <c r="M86" s="18">
        <v>25.499999999999996</v>
      </c>
      <c r="N86" s="18">
        <v>-19.280418931769734</v>
      </c>
      <c r="O86" s="20"/>
      <c r="P86" s="18">
        <v>25.499999999999996</v>
      </c>
      <c r="Q86" s="18">
        <v>-2.4244811220918816</v>
      </c>
      <c r="R86" s="18">
        <v>25.499999999999996</v>
      </c>
      <c r="S86" s="18">
        <v>-19.309302636734092</v>
      </c>
      <c r="T86" s="18"/>
      <c r="U86" s="18">
        <v>25.499999999999996</v>
      </c>
      <c r="V86" s="18">
        <v>-2.3218328627853007</v>
      </c>
      <c r="W86" s="18">
        <v>25.499999999999996</v>
      </c>
      <c r="X86" s="18">
        <v>-19.324053122579063</v>
      </c>
    </row>
    <row r="87" spans="1:24" x14ac:dyDescent="0.2">
      <c r="A87" s="18">
        <v>25.999999999999996</v>
      </c>
      <c r="B87" s="18">
        <v>-0.92128001610529719</v>
      </c>
      <c r="C87" s="18">
        <v>25.999999999999996</v>
      </c>
      <c r="D87" s="18">
        <v>-19.908618666611218</v>
      </c>
      <c r="E87" s="20"/>
      <c r="F87" s="18">
        <v>25.999999999999996</v>
      </c>
      <c r="G87" s="18">
        <v>-3.6517877356926958</v>
      </c>
      <c r="H87" s="18">
        <v>25.999999999999996</v>
      </c>
      <c r="I87" s="18">
        <v>-19.640483600284341</v>
      </c>
      <c r="J87" s="20"/>
      <c r="K87" s="18">
        <v>25.999999999999996</v>
      </c>
      <c r="L87" s="18">
        <v>-2.7108624048839745</v>
      </c>
      <c r="M87" s="18">
        <v>25.999999999999996</v>
      </c>
      <c r="N87" s="18">
        <v>-19.777085572030661</v>
      </c>
      <c r="O87" s="20"/>
      <c r="P87" s="18">
        <v>25.999999999999996</v>
      </c>
      <c r="Q87" s="18">
        <v>-2.4751532789610797</v>
      </c>
      <c r="R87" s="18">
        <v>25.999999999999996</v>
      </c>
      <c r="S87" s="18">
        <v>-19.806938715320392</v>
      </c>
      <c r="T87" s="18"/>
      <c r="U87" s="18">
        <v>25.999999999999996</v>
      </c>
      <c r="V87" s="18">
        <v>-2.3690501918157802</v>
      </c>
      <c r="W87" s="18">
        <v>25.999999999999996</v>
      </c>
      <c r="X87" s="18">
        <v>-19.822122402506231</v>
      </c>
    </row>
    <row r="88" spans="1:24" x14ac:dyDescent="0.2">
      <c r="A88" s="18">
        <v>26.499999999999996</v>
      </c>
      <c r="B88" s="18">
        <v>-0.93639072662551015</v>
      </c>
      <c r="C88" s="18">
        <v>26.499999999999996</v>
      </c>
      <c r="D88" s="18">
        <v>-20.408692102297159</v>
      </c>
      <c r="E88" s="20"/>
      <c r="F88" s="18">
        <v>26.499999999999996</v>
      </c>
      <c r="G88" s="18">
        <v>-3.748435942273741</v>
      </c>
      <c r="H88" s="18">
        <v>26.499999999999996</v>
      </c>
      <c r="I88" s="18">
        <v>-20.131077294512025</v>
      </c>
      <c r="J88" s="20"/>
      <c r="K88" s="18">
        <v>26.499999999999996</v>
      </c>
      <c r="L88" s="18">
        <v>-2.7695678786210314</v>
      </c>
      <c r="M88" s="18">
        <v>26.499999999999996</v>
      </c>
      <c r="N88" s="18">
        <v>-20.273744212579668</v>
      </c>
      <c r="O88" s="20"/>
      <c r="P88" s="18">
        <v>26.499999999999996</v>
      </c>
      <c r="Q88" s="18">
        <v>-2.5258494793335418</v>
      </c>
      <c r="R88" s="18">
        <v>26.499999999999996</v>
      </c>
      <c r="S88" s="18">
        <v>-20.304572268928368</v>
      </c>
      <c r="T88" s="18"/>
      <c r="U88" s="18">
        <v>26.499999999999996</v>
      </c>
      <c r="V88" s="18">
        <v>-2.4162806671310944</v>
      </c>
      <c r="W88" s="18">
        <v>26.499999999999996</v>
      </c>
      <c r="X88" s="18">
        <v>-20.320190359835205</v>
      </c>
    </row>
    <row r="89" spans="1:24" x14ac:dyDescent="0.2">
      <c r="A89" s="18">
        <v>26.999999999999996</v>
      </c>
      <c r="B89" s="18">
        <v>-0.95150500048933673</v>
      </c>
      <c r="C89" s="18">
        <v>26.999999999999996</v>
      </c>
      <c r="D89" s="18">
        <v>-20.908765354150844</v>
      </c>
      <c r="E89" s="20"/>
      <c r="F89" s="18">
        <v>26.999999999999996</v>
      </c>
      <c r="G89" s="18">
        <v>-3.8456692187597561</v>
      </c>
      <c r="H89" s="18">
        <v>26.999999999999996</v>
      </c>
      <c r="I89" s="18">
        <v>-20.621555290347466</v>
      </c>
      <c r="J89" s="20"/>
      <c r="K89" s="18">
        <v>26.999999999999996</v>
      </c>
      <c r="L89" s="18">
        <v>-2.8283376425781399</v>
      </c>
      <c r="M89" s="18">
        <v>26.999999999999996</v>
      </c>
      <c r="N89" s="18">
        <v>-20.770395173615544</v>
      </c>
      <c r="O89" s="20"/>
      <c r="P89" s="18">
        <v>26.999999999999996</v>
      </c>
      <c r="Q89" s="18">
        <v>-2.5765689264409843</v>
      </c>
      <c r="R89" s="18">
        <v>26.999999999999996</v>
      </c>
      <c r="S89" s="18">
        <v>-20.802203377592427</v>
      </c>
      <c r="T89" s="18"/>
      <c r="U89" s="18">
        <v>26.999999999999996</v>
      </c>
      <c r="V89" s="18">
        <v>-2.4635240060978476</v>
      </c>
      <c r="W89" s="18">
        <v>26.999999999999996</v>
      </c>
      <c r="X89" s="18">
        <v>-20.818257021024532</v>
      </c>
    </row>
    <row r="90" spans="1:24" x14ac:dyDescent="0.2">
      <c r="A90" s="18">
        <v>27.499999999999996</v>
      </c>
      <c r="B90" s="18">
        <v>-0.9666228386767457</v>
      </c>
      <c r="C90" s="18">
        <v>27.499999999999996</v>
      </c>
      <c r="D90" s="18">
        <v>-21.408838422117217</v>
      </c>
      <c r="E90" s="20"/>
      <c r="F90" s="18">
        <v>27.499999999999996</v>
      </c>
      <c r="G90" s="18">
        <v>-3.9434725887323037</v>
      </c>
      <c r="H90" s="18">
        <v>27.499999999999996</v>
      </c>
      <c r="I90" s="18">
        <v>-21.111919849700726</v>
      </c>
      <c r="J90" s="20"/>
      <c r="K90" s="18">
        <v>27.499999999999996</v>
      </c>
      <c r="L90" s="18">
        <v>-2.8871691539080406</v>
      </c>
      <c r="M90" s="18">
        <v>27.499999999999996</v>
      </c>
      <c r="N90" s="18">
        <v>-21.267038747924936</v>
      </c>
      <c r="O90" s="20"/>
      <c r="P90" s="18">
        <v>27.499999999999996</v>
      </c>
      <c r="Q90" s="18">
        <v>-2.627310915791977</v>
      </c>
      <c r="R90" s="18">
        <v>27.499999999999996</v>
      </c>
      <c r="S90" s="18">
        <v>-21.299832112050591</v>
      </c>
      <c r="T90" s="18"/>
      <c r="U90" s="18">
        <v>27.499999999999996</v>
      </c>
      <c r="V90" s="18">
        <v>-2.5107799652838283</v>
      </c>
      <c r="W90" s="18">
        <v>27.499999999999996</v>
      </c>
      <c r="X90" s="18">
        <v>-21.316322408835514</v>
      </c>
    </row>
    <row r="91" spans="1:24" x14ac:dyDescent="0.2">
      <c r="A91" s="18">
        <v>27.999999999999996</v>
      </c>
      <c r="B91" s="18">
        <v>-0.9817442420967003</v>
      </c>
      <c r="C91" s="18">
        <v>27.999999999999996</v>
      </c>
      <c r="D91" s="18">
        <v>-21.908911306143345</v>
      </c>
      <c r="E91" s="20"/>
      <c r="F91" s="18">
        <v>27.999999999999996</v>
      </c>
      <c r="G91" s="18">
        <v>-4.041831545159277</v>
      </c>
      <c r="H91" s="18">
        <v>27.999999999999996</v>
      </c>
      <c r="I91" s="18">
        <v>-21.602173194127797</v>
      </c>
      <c r="J91" s="20"/>
      <c r="K91" s="18">
        <v>27.999999999999996</v>
      </c>
      <c r="L91" s="18">
        <v>-2.9460600883280348</v>
      </c>
      <c r="M91" s="18">
        <v>27.999999999999996</v>
      </c>
      <c r="N91" s="18">
        <v>-21.763675203338892</v>
      </c>
      <c r="O91" s="20"/>
      <c r="P91" s="18">
        <v>27.999999999999996</v>
      </c>
      <c r="Q91" s="18">
        <v>-2.6780748242362189</v>
      </c>
      <c r="R91" s="18">
        <v>27.999999999999996</v>
      </c>
      <c r="S91" s="18">
        <v>-21.79745853483988</v>
      </c>
      <c r="T91" s="18"/>
      <c r="U91" s="18">
        <v>27.999999999999996</v>
      </c>
      <c r="V91" s="18">
        <v>-2.558048334984155</v>
      </c>
      <c r="W91" s="18">
        <v>27.999999999999996</v>
      </c>
      <c r="X91" s="18">
        <v>-21.814386542847288</v>
      </c>
    </row>
    <row r="92" spans="1:24" x14ac:dyDescent="0.2">
      <c r="A92" s="18">
        <v>28.499999999999996</v>
      </c>
      <c r="B92" s="18">
        <v>-0.99686921157020603</v>
      </c>
      <c r="C92" s="18">
        <v>28.499999999999996</v>
      </c>
      <c r="D92" s="18">
        <v>-22.40898400617894</v>
      </c>
      <c r="E92" s="20"/>
      <c r="F92" s="18">
        <v>28.499999999999996</v>
      </c>
      <c r="G92" s="18">
        <v>-4.1407320201185005</v>
      </c>
      <c r="H92" s="18">
        <v>28.499999999999996</v>
      </c>
      <c r="I92" s="18">
        <v>-22.092317507427801</v>
      </c>
      <c r="J92" s="20"/>
      <c r="K92" s="18">
        <v>28.499999999999996</v>
      </c>
      <c r="L92" s="18">
        <v>-3.0050083199058353</v>
      </c>
      <c r="M92" s="18">
        <v>28.499999999999996</v>
      </c>
      <c r="N92" s="18">
        <v>-22.260304784990925</v>
      </c>
      <c r="O92" s="20"/>
      <c r="P92" s="18">
        <v>28.499999999999996</v>
      </c>
      <c r="Q92" s="18">
        <v>-2.7288601002744621</v>
      </c>
      <c r="R92" s="18">
        <v>28.499999999999996</v>
      </c>
      <c r="S92" s="18">
        <v>-22.29508270126815</v>
      </c>
      <c r="T92" s="18"/>
      <c r="U92" s="18">
        <v>28.499999999999996</v>
      </c>
      <c r="V92" s="18">
        <v>-2.6053289344911432</v>
      </c>
      <c r="W92" s="18">
        <v>28.499999999999996</v>
      </c>
      <c r="X92" s="18">
        <v>-22.312449439902181</v>
      </c>
    </row>
    <row r="93" spans="1:24" x14ac:dyDescent="0.2">
      <c r="A93" s="18">
        <v>28.999999999999996</v>
      </c>
      <c r="B93" s="18">
        <v>-1.0119977478114179</v>
      </c>
      <c r="C93" s="18">
        <v>28.999999999999996</v>
      </c>
      <c r="D93" s="18">
        <v>-22.909056522176929</v>
      </c>
      <c r="E93" s="20"/>
      <c r="F93" s="18">
        <v>28.999999999999996</v>
      </c>
      <c r="G93" s="18">
        <v>-4.2401603554998148</v>
      </c>
      <c r="H93" s="18">
        <v>28.999999999999996</v>
      </c>
      <c r="I93" s="18">
        <v>-22.582354938346086</v>
      </c>
      <c r="J93" s="20"/>
      <c r="K93" s="18">
        <v>28.999999999999996</v>
      </c>
      <c r="L93" s="18">
        <v>-3.0640119025520107</v>
      </c>
      <c r="M93" s="18">
        <v>28.999999999999996</v>
      </c>
      <c r="N93" s="18">
        <v>-22.756927717393612</v>
      </c>
      <c r="O93" s="20"/>
      <c r="P93" s="18">
        <v>28.999999999999996</v>
      </c>
      <c r="Q93" s="18">
        <v>-2.7796662554653571</v>
      </c>
      <c r="R93" s="18">
        <v>28.999999999999996</v>
      </c>
      <c r="S93" s="18">
        <v>-22.792704660277003</v>
      </c>
      <c r="T93" s="18"/>
      <c r="U93" s="18">
        <v>28.999999999999996</v>
      </c>
      <c r="V93" s="18">
        <v>-2.6526216080034488</v>
      </c>
      <c r="W93" s="18">
        <v>28.999999999999996</v>
      </c>
      <c r="X93" s="18">
        <v>-22.810511114491053</v>
      </c>
    </row>
    <row r="94" spans="1:24" x14ac:dyDescent="0.2">
      <c r="A94" s="18">
        <v>29.499999999999996</v>
      </c>
      <c r="B94" s="18">
        <v>-1.027129851406398</v>
      </c>
      <c r="C94" s="18">
        <v>29.499999999999996</v>
      </c>
      <c r="D94" s="18">
        <v>-23.409128854094103</v>
      </c>
      <c r="E94" s="20"/>
      <c r="F94" s="18">
        <v>29.499999999999996</v>
      </c>
      <c r="G94" s="18">
        <v>-4.3401032746264363</v>
      </c>
      <c r="H94" s="18">
        <v>29.499999999999996</v>
      </c>
      <c r="I94" s="18">
        <v>-23.072287603372349</v>
      </c>
      <c r="J94" s="20"/>
      <c r="K94" s="18">
        <v>29.499999999999996</v>
      </c>
      <c r="L94" s="18">
        <v>-3.1230690530590381</v>
      </c>
      <c r="M94" s="18">
        <v>29.499999999999996</v>
      </c>
      <c r="N94" s="18">
        <v>-23.253544206349602</v>
      </c>
      <c r="O94" s="20"/>
      <c r="P94" s="18">
        <v>29.499999999999996</v>
      </c>
      <c r="Q94" s="18">
        <v>-2.8304928567973731</v>
      </c>
      <c r="R94" s="18">
        <v>29.499999999999996</v>
      </c>
      <c r="S94" s="18">
        <v>-23.290324455208594</v>
      </c>
      <c r="T94" s="18"/>
      <c r="U94" s="18">
        <v>29.499999999999996</v>
      </c>
      <c r="V94" s="18">
        <v>-2.6999262210841817</v>
      </c>
      <c r="W94" s="18">
        <v>29.499999999999996</v>
      </c>
      <c r="X94" s="18">
        <v>-23.308571579087126</v>
      </c>
    </row>
    <row r="95" spans="1:24" x14ac:dyDescent="0.2">
      <c r="A95" s="18">
        <v>29.999999999999996</v>
      </c>
      <c r="B95" s="18">
        <v>-1.0422655227890583</v>
      </c>
      <c r="C95" s="18">
        <v>29.999999999999996</v>
      </c>
      <c r="D95" s="18">
        <v>-23.909201001891834</v>
      </c>
      <c r="E95" s="20"/>
      <c r="F95" s="18">
        <v>29.999999999999996</v>
      </c>
      <c r="G95" s="18">
        <v>-4.4405478547387123</v>
      </c>
      <c r="H95" s="18">
        <v>29.999999999999996</v>
      </c>
      <c r="I95" s="18">
        <v>-23.562117589624307</v>
      </c>
      <c r="J95" s="20"/>
      <c r="K95" s="18">
        <v>29.999999999999996</v>
      </c>
      <c r="L95" s="18">
        <v>-3.1821781355405321</v>
      </c>
      <c r="M95" s="18">
        <v>29.999999999999996</v>
      </c>
      <c r="N95" s="18">
        <v>-23.750154440711757</v>
      </c>
      <c r="O95" s="20"/>
      <c r="P95" s="18">
        <v>29.999999999999996</v>
      </c>
      <c r="Q95" s="18">
        <v>-2.8813395199088188</v>
      </c>
      <c r="R95" s="18">
        <v>29.999999999999996</v>
      </c>
      <c r="S95" s="18">
        <v>-23.787942124487994</v>
      </c>
      <c r="T95" s="18"/>
      <c r="U95" s="18">
        <v>29.999999999999996</v>
      </c>
      <c r="V95" s="18">
        <v>-2.747242657589815</v>
      </c>
      <c r="W95" s="18">
        <v>29.999999999999996</v>
      </c>
      <c r="X95" s="18">
        <v>-23.806630844435546</v>
      </c>
    </row>
    <row r="96" spans="1:24" x14ac:dyDescent="0.2">
      <c r="A96" s="18">
        <v>30.499999999999996</v>
      </c>
      <c r="B96" s="18">
        <v>-1.057404762213769</v>
      </c>
      <c r="C96" s="18">
        <v>30.499999999999996</v>
      </c>
      <c r="D96" s="18">
        <v>-24.409272965536932</v>
      </c>
      <c r="E96" s="20"/>
      <c r="F96" s="18">
        <v>30.499999999999996</v>
      </c>
      <c r="G96" s="18">
        <v>-4.5414815002855962</v>
      </c>
      <c r="H96" s="18">
        <v>30.499999999999996</v>
      </c>
      <c r="I96" s="18">
        <v>-24.051846957808571</v>
      </c>
      <c r="J96" s="20"/>
      <c r="K96" s="18">
        <v>30.499999999999996</v>
      </c>
      <c r="L96" s="18">
        <v>-3.2413376471364117</v>
      </c>
      <c r="M96" s="18">
        <v>30.499999999999996</v>
      </c>
      <c r="N96" s="18">
        <v>-24.246758594006195</v>
      </c>
      <c r="O96" s="20"/>
      <c r="P96" s="18">
        <v>30.499999999999996</v>
      </c>
      <c r="Q96" s="18">
        <v>-2.9322059030520289</v>
      </c>
      <c r="R96" s="18">
        <v>30.499999999999996</v>
      </c>
      <c r="S96" s="18">
        <v>-24.28555770223123</v>
      </c>
      <c r="T96" s="18"/>
      <c r="U96" s="18">
        <v>30.499999999999996</v>
      </c>
      <c r="V96" s="18">
        <v>-2.7945708170021168</v>
      </c>
      <c r="W96" s="18">
        <v>30.499999999999996</v>
      </c>
      <c r="X96" s="18">
        <v>-24.30468891980512</v>
      </c>
    </row>
    <row r="97" spans="1:24" x14ac:dyDescent="0.2">
      <c r="A97" s="18">
        <v>30.999999999999996</v>
      </c>
      <c r="B97" s="18">
        <v>-1.0725475697240319</v>
      </c>
      <c r="C97" s="18">
        <v>30.999999999999996</v>
      </c>
      <c r="D97" s="18">
        <v>-24.909344745002581</v>
      </c>
      <c r="E97" s="20"/>
      <c r="F97" s="18">
        <v>30.999999999999996</v>
      </c>
      <c r="G97" s="18">
        <v>-4.6428919169713003</v>
      </c>
      <c r="H97" s="18">
        <v>30.999999999999996</v>
      </c>
      <c r="I97" s="18">
        <v>-24.541477745251502</v>
      </c>
      <c r="J97" s="20"/>
      <c r="K97" s="18">
        <v>30.999999999999996</v>
      </c>
      <c r="L97" s="18">
        <v>-3.3005462048608445</v>
      </c>
      <c r="M97" s="18">
        <v>30.999999999999996</v>
      </c>
      <c r="N97" s="18">
        <v>-24.743356825930903</v>
      </c>
      <c r="O97" s="20"/>
      <c r="P97" s="18">
        <v>30.999999999999996</v>
      </c>
      <c r="Q97" s="18">
        <v>-2.9830917017092555</v>
      </c>
      <c r="R97" s="18">
        <v>30.999999999999996</v>
      </c>
      <c r="S97" s="18">
        <v>-24.783171218788279</v>
      </c>
      <c r="T97" s="18"/>
      <c r="U97" s="18">
        <v>30.999999999999996</v>
      </c>
      <c r="V97" s="18">
        <v>-2.8419106121042192</v>
      </c>
      <c r="W97" s="18">
        <v>30.999999999999996</v>
      </c>
      <c r="X97" s="18">
        <v>-24.802745813207647</v>
      </c>
    </row>
    <row r="98" spans="1:24" x14ac:dyDescent="0.2">
      <c r="A98" s="18">
        <v>31.499999999999996</v>
      </c>
      <c r="B98" s="18">
        <v>-1.0876939451165413</v>
      </c>
      <c r="C98" s="18">
        <v>31.499999999999996</v>
      </c>
      <c r="D98" s="18">
        <v>-25.409416340269445</v>
      </c>
      <c r="E98" s="20"/>
      <c r="F98" s="18">
        <v>31.499999999999996</v>
      </c>
      <c r="G98" s="18">
        <v>-4.7447670865065241</v>
      </c>
      <c r="H98" s="18">
        <v>31.499999999999996</v>
      </c>
      <c r="I98" s="18">
        <v>-25.03101196899388</v>
      </c>
      <c r="J98" s="20"/>
      <c r="K98" s="18">
        <v>31.499999999999996</v>
      </c>
      <c r="L98" s="18">
        <v>-3.359802533479769</v>
      </c>
      <c r="M98" s="18">
        <v>31.499999999999996</v>
      </c>
      <c r="N98" s="18">
        <v>-25.239949283741815</v>
      </c>
      <c r="O98" s="20"/>
      <c r="P98" s="18">
        <v>31.499999999999996</v>
      </c>
      <c r="Q98" s="18">
        <v>-3.0339966437778139</v>
      </c>
      <c r="R98" s="18">
        <v>31.499999999999996</v>
      </c>
      <c r="S98" s="18">
        <v>-25.280782701229125</v>
      </c>
      <c r="T98" s="18"/>
      <c r="U98" s="18">
        <v>31.499999999999996</v>
      </c>
      <c r="V98" s="18">
        <v>-2.8892619669495261</v>
      </c>
      <c r="W98" s="18">
        <v>31.499999999999996</v>
      </c>
      <c r="X98" s="18">
        <v>-25.300801531589727</v>
      </c>
    </row>
    <row r="99" spans="1:24" x14ac:dyDescent="0.2">
      <c r="A99" s="18">
        <v>31.999999999999996</v>
      </c>
      <c r="B99" s="18">
        <v>-1.1028438878998506</v>
      </c>
      <c r="C99" s="18">
        <v>31.999999999999996</v>
      </c>
      <c r="D99" s="18">
        <v>-25.909487751326914</v>
      </c>
      <c r="E99" s="20"/>
      <c r="F99" s="18">
        <v>31.999999999999996</v>
      </c>
      <c r="G99" s="18">
        <v>-4.8470952420155564</v>
      </c>
      <c r="H99" s="18">
        <v>31.999999999999996</v>
      </c>
      <c r="I99" s="18">
        <v>-25.520451628944006</v>
      </c>
      <c r="J99" s="20"/>
      <c r="K99" s="18">
        <v>31.999999999999996</v>
      </c>
      <c r="L99" s="18">
        <v>-3.4191054543137951</v>
      </c>
      <c r="M99" s="18">
        <v>31.999999999999996</v>
      </c>
      <c r="N99" s="18">
        <v>-25.736536103537411</v>
      </c>
      <c r="O99" s="20"/>
      <c r="P99" s="18">
        <v>31.999999999999996</v>
      </c>
      <c r="Q99" s="18">
        <v>-3.0849204852508048</v>
      </c>
      <c r="R99" s="18">
        <v>31.999999999999996</v>
      </c>
      <c r="S99" s="18">
        <v>-25.778392173780258</v>
      </c>
      <c r="T99" s="18"/>
      <c r="U99" s="18">
        <v>31.999999999999996</v>
      </c>
      <c r="V99" s="18">
        <v>-2.936624815078599</v>
      </c>
      <c r="W99" s="18">
        <v>31.999999999999996</v>
      </c>
      <c r="X99" s="18">
        <v>-25.798856081001254</v>
      </c>
    </row>
    <row r="100" spans="1:24" x14ac:dyDescent="0.2">
      <c r="A100" s="18">
        <v>32.5</v>
      </c>
      <c r="B100" s="18">
        <v>-1.1179973972467441</v>
      </c>
      <c r="C100" s="18">
        <v>32.5</v>
      </c>
      <c r="D100" s="18">
        <v>-26.409558978174566</v>
      </c>
      <c r="E100" s="20"/>
      <c r="F100" s="18">
        <v>32.5</v>
      </c>
      <c r="G100" s="18">
        <v>-4.949864844052307</v>
      </c>
      <c r="H100" s="18">
        <v>32.5</v>
      </c>
      <c r="I100" s="18">
        <v>-26.009798711084663</v>
      </c>
      <c r="J100" s="20"/>
      <c r="K100" s="18">
        <v>32.5</v>
      </c>
      <c r="L100" s="18">
        <v>-3.4784538748703588</v>
      </c>
      <c r="M100" s="18">
        <v>32.5</v>
      </c>
      <c r="N100" s="18">
        <v>-26.233117411452081</v>
      </c>
      <c r="O100" s="20"/>
      <c r="P100" s="18">
        <v>32.5</v>
      </c>
      <c r="Q100" s="18">
        <v>-3.1358630063273591</v>
      </c>
      <c r="R100" s="18">
        <v>32.5</v>
      </c>
      <c r="S100" s="18">
        <v>-26.275999658218176</v>
      </c>
      <c r="T100" s="18"/>
      <c r="U100" s="18">
        <v>32.5</v>
      </c>
      <c r="V100" s="18">
        <v>-2.9839990979445976</v>
      </c>
      <c r="W100" s="18">
        <v>32.5</v>
      </c>
      <c r="X100" s="18">
        <v>-26.296909466744264</v>
      </c>
    </row>
    <row r="101" spans="1:24" x14ac:dyDescent="0.2">
      <c r="A101" s="18">
        <v>33</v>
      </c>
      <c r="B101" s="18">
        <v>-1.1331544719392841</v>
      </c>
      <c r="C101" s="18">
        <v>33</v>
      </c>
      <c r="D101" s="18">
        <v>-26.90963002082384</v>
      </c>
      <c r="E101" s="20"/>
      <c r="F101" s="18">
        <v>33</v>
      </c>
      <c r="G101" s="18">
        <v>-5.0530645571799688</v>
      </c>
      <c r="H101" s="18">
        <v>33</v>
      </c>
      <c r="I101" s="18">
        <v>-26.499055190730164</v>
      </c>
      <c r="J101" s="20"/>
      <c r="K101" s="18">
        <v>33</v>
      </c>
      <c r="L101" s="18">
        <v>-3.5378467792162476</v>
      </c>
      <c r="M101" s="18">
        <v>33</v>
      </c>
      <c r="N101" s="18">
        <v>-26.729693324767862</v>
      </c>
      <c r="O101" s="20"/>
      <c r="P101" s="18">
        <v>33</v>
      </c>
      <c r="Q101" s="18">
        <v>-3.1868240078929633</v>
      </c>
      <c r="R101" s="18">
        <v>33</v>
      </c>
      <c r="S101" s="18">
        <v>-26.773605174225843</v>
      </c>
      <c r="T101" s="18"/>
      <c r="U101" s="18">
        <v>33</v>
      </c>
      <c r="V101" s="18">
        <v>-3.0313847635124334</v>
      </c>
      <c r="W101" s="18">
        <v>33</v>
      </c>
      <c r="X101" s="18">
        <v>-26.794961693505432</v>
      </c>
    </row>
    <row r="102" spans="1:24" x14ac:dyDescent="0.2">
      <c r="A102" s="18">
        <v>33.5</v>
      </c>
      <c r="B102" s="18">
        <v>-1.1483151103053353</v>
      </c>
      <c r="C102" s="18">
        <v>33.5</v>
      </c>
      <c r="D102" s="18">
        <v>-27.409700879299976</v>
      </c>
      <c r="E102" s="20"/>
      <c r="F102" s="18">
        <v>33.5</v>
      </c>
      <c r="G102" s="18">
        <v>-5.1566832270706238</v>
      </c>
      <c r="H102" s="18">
        <v>33.5</v>
      </c>
      <c r="I102" s="18">
        <v>-26.988223035830149</v>
      </c>
      <c r="J102" s="20"/>
      <c r="K102" s="18">
        <v>33.5</v>
      </c>
      <c r="L102" s="18">
        <v>-3.5972832190081023</v>
      </c>
      <c r="M102" s="18">
        <v>33.5</v>
      </c>
      <c r="N102" s="18">
        <v>-27.226263952953584</v>
      </c>
      <c r="O102" s="20"/>
      <c r="P102" s="18">
        <v>33.5</v>
      </c>
      <c r="Q102" s="18">
        <v>-3.237803308316118</v>
      </c>
      <c r="R102" s="18">
        <v>33.5</v>
      </c>
      <c r="S102" s="18">
        <v>-27.271208739717526</v>
      </c>
      <c r="T102" s="18"/>
      <c r="U102" s="18">
        <v>33.5</v>
      </c>
      <c r="V102" s="18">
        <v>-3.07878176500058</v>
      </c>
      <c r="W102" s="18">
        <v>33.5</v>
      </c>
      <c r="X102" s="18">
        <v>-27.293012765475169</v>
      </c>
    </row>
    <row r="103" spans="1:24" x14ac:dyDescent="0.2">
      <c r="A103" s="18">
        <v>34</v>
      </c>
      <c r="B103" s="18">
        <v>-1.1634793101451912</v>
      </c>
      <c r="C103" s="18">
        <v>34</v>
      </c>
      <c r="D103" s="18">
        <v>-27.909771553644241</v>
      </c>
      <c r="E103" s="20"/>
      <c r="F103" s="18">
        <v>34</v>
      </c>
      <c r="G103" s="18">
        <v>-5.2607098580825165</v>
      </c>
      <c r="H103" s="18">
        <v>34</v>
      </c>
      <c r="I103" s="18">
        <v>-27.477304210317591</v>
      </c>
      <c r="J103" s="20"/>
      <c r="K103" s="18">
        <v>34</v>
      </c>
      <c r="L103" s="18">
        <v>-3.6567623051042388</v>
      </c>
      <c r="M103" s="18">
        <v>34</v>
      </c>
      <c r="N103" s="18">
        <v>-27.722829398639782</v>
      </c>
      <c r="O103" s="20"/>
      <c r="P103" s="18">
        <v>34</v>
      </c>
      <c r="Q103" s="18">
        <v>-3.2888007405124657</v>
      </c>
      <c r="R103" s="18">
        <v>34</v>
      </c>
      <c r="S103" s="18">
        <v>-27.768810371136851</v>
      </c>
      <c r="T103" s="18"/>
      <c r="U103" s="18">
        <v>34</v>
      </c>
      <c r="V103" s="18">
        <v>-3.1261900597376293</v>
      </c>
      <c r="W103" s="18">
        <v>34</v>
      </c>
      <c r="X103" s="18">
        <v>-27.791062686455899</v>
      </c>
    </row>
    <row r="104" spans="1:24" x14ac:dyDescent="0.2">
      <c r="A104" s="18">
        <v>34.5</v>
      </c>
      <c r="B104" s="18">
        <v>-1.1786470686467103</v>
      </c>
      <c r="C104" s="18">
        <v>34.5</v>
      </c>
      <c r="D104" s="18">
        <v>-28.409842043916527</v>
      </c>
      <c r="E104" s="20"/>
      <c r="F104" s="18">
        <v>34.5</v>
      </c>
      <c r="G104" s="18">
        <v>-5.3651335912741702</v>
      </c>
      <c r="H104" s="18">
        <v>34.5</v>
      </c>
      <c r="I104" s="18">
        <v>-27.966300677498683</v>
      </c>
      <c r="J104" s="20"/>
      <c r="K104" s="18">
        <v>34.5</v>
      </c>
      <c r="L104" s="18">
        <v>-3.7162831996862544</v>
      </c>
      <c r="M104" s="18">
        <v>34.5</v>
      </c>
      <c r="N104" s="18">
        <v>-28.219389758537368</v>
      </c>
      <c r="O104" s="20"/>
      <c r="P104" s="18">
        <v>34.5</v>
      </c>
      <c r="Q104" s="18">
        <v>-3.3398161492316469</v>
      </c>
      <c r="R104" s="18">
        <v>34.5</v>
      </c>
      <c r="S104" s="18">
        <v>-28.266410083732641</v>
      </c>
      <c r="T104" s="18"/>
      <c r="U104" s="18">
        <v>34.5</v>
      </c>
      <c r="V104" s="18">
        <v>-3.1736096081082028</v>
      </c>
      <c r="W104" s="18">
        <v>34.5</v>
      </c>
      <c r="X104" s="18">
        <v>-28.289111459961966</v>
      </c>
    </row>
    <row r="105" spans="1:24" x14ac:dyDescent="0.2">
      <c r="A105" s="18">
        <v>35</v>
      </c>
      <c r="B105" s="18">
        <v>-1.1938183822871196</v>
      </c>
      <c r="C105" s="18">
        <v>35</v>
      </c>
      <c r="D105" s="18">
        <v>-28.909912350198343</v>
      </c>
      <c r="E105" s="20"/>
      <c r="F105" s="18">
        <v>35</v>
      </c>
      <c r="G105" s="18">
        <v>-5.469943682815761</v>
      </c>
      <c r="H105" s="18">
        <v>35</v>
      </c>
      <c r="I105" s="18">
        <v>-28.455214403482948</v>
      </c>
      <c r="J105" s="20"/>
      <c r="K105" s="18">
        <v>35</v>
      </c>
      <c r="L105" s="18">
        <v>-3.7758451088233409</v>
      </c>
      <c r="M105" s="18">
        <v>35</v>
      </c>
      <c r="N105" s="18">
        <v>-28.715945124307538</v>
      </c>
      <c r="O105" s="20"/>
      <c r="P105" s="18">
        <v>35</v>
      </c>
      <c r="Q105" s="18">
        <v>-3.3908493885255799</v>
      </c>
      <c r="R105" s="18">
        <v>35</v>
      </c>
      <c r="S105" s="18">
        <v>-28.7640078918167</v>
      </c>
      <c r="T105" s="18"/>
      <c r="U105" s="18">
        <v>35</v>
      </c>
      <c r="V105" s="18">
        <v>-3.2210403725648673</v>
      </c>
      <c r="W105" s="18">
        <v>35</v>
      </c>
      <c r="X105" s="18">
        <v>-28.787159089313338</v>
      </c>
    </row>
    <row r="106" spans="1:24" x14ac:dyDescent="0.2">
      <c r="A106" s="18">
        <v>35.5</v>
      </c>
      <c r="B106" s="18">
        <v>-1.2089932467193569</v>
      </c>
      <c r="C106" s="18">
        <v>35.5</v>
      </c>
      <c r="D106" s="18">
        <v>-29.409982472596294</v>
      </c>
      <c r="E106" s="20"/>
      <c r="F106" s="18">
        <v>35.5</v>
      </c>
      <c r="G106" s="18">
        <v>-5.5751294827594293</v>
      </c>
      <c r="H106" s="18">
        <v>35.5</v>
      </c>
      <c r="I106" s="18">
        <v>-28.94404736065211</v>
      </c>
      <c r="J106" s="20"/>
      <c r="K106" s="18">
        <v>35.5</v>
      </c>
      <c r="L106" s="18">
        <v>-3.8354472754161493</v>
      </c>
      <c r="M106" s="18">
        <v>35.5</v>
      </c>
      <c r="N106" s="18">
        <v>-29.21249558339003</v>
      </c>
      <c r="O106" s="20"/>
      <c r="P106" s="18">
        <v>35.5</v>
      </c>
      <c r="Q106" s="18">
        <v>-3.4419003193596791</v>
      </c>
      <c r="R106" s="18">
        <v>35.5</v>
      </c>
      <c r="S106" s="18">
        <v>-29.261603809007376</v>
      </c>
      <c r="T106" s="18"/>
      <c r="U106" s="18">
        <v>35.5</v>
      </c>
      <c r="V106" s="18">
        <v>-3.2684823166842212</v>
      </c>
      <c r="W106" s="18">
        <v>35.5</v>
      </c>
      <c r="X106" s="18">
        <v>-29.285205577725222</v>
      </c>
    </row>
    <row r="107" spans="1:24" x14ac:dyDescent="0.2">
      <c r="A107" s="18">
        <v>36</v>
      </c>
      <c r="B107" s="18">
        <v>-1.2241716566404854</v>
      </c>
      <c r="C107" s="18">
        <v>36</v>
      </c>
      <c r="D107" s="18">
        <v>-29.910052411246081</v>
      </c>
      <c r="E107" s="20"/>
      <c r="F107" s="18">
        <v>36</v>
      </c>
      <c r="G107" s="18">
        <v>-5.6806804141313139</v>
      </c>
      <c r="H107" s="18">
        <v>36</v>
      </c>
      <c r="I107" s="18">
        <v>-29.432801531166664</v>
      </c>
      <c r="J107" s="20"/>
      <c r="K107" s="18">
        <v>36</v>
      </c>
      <c r="L107" s="18">
        <v>-3.8950889724604045</v>
      </c>
      <c r="M107" s="18">
        <v>36</v>
      </c>
      <c r="N107" s="18">
        <v>-29.709041219796504</v>
      </c>
      <c r="O107" s="20"/>
      <c r="P107" s="18">
        <v>36</v>
      </c>
      <c r="Q107" s="18">
        <v>-3.4929688073307443</v>
      </c>
      <c r="R107" s="18">
        <v>36</v>
      </c>
      <c r="S107" s="18">
        <v>-29.759197848462698</v>
      </c>
      <c r="T107" s="18"/>
      <c r="U107" s="18">
        <v>36</v>
      </c>
      <c r="V107" s="18">
        <v>-3.3159354042464817</v>
      </c>
      <c r="W107" s="18">
        <v>36</v>
      </c>
      <c r="X107" s="18">
        <v>-29.78325092839555</v>
      </c>
    </row>
    <row r="108" spans="1:24" x14ac:dyDescent="0.2">
      <c r="A108" s="18">
        <v>36.5</v>
      </c>
      <c r="B108" s="18">
        <v>-1.2393536056393295</v>
      </c>
      <c r="C108" s="18">
        <v>36.5</v>
      </c>
      <c r="D108" s="18">
        <v>-30.410122166317176</v>
      </c>
      <c r="E108" s="20"/>
      <c r="F108" s="18">
        <v>36.5</v>
      </c>
      <c r="G108" s="18">
        <v>-5.7865859523091654</v>
      </c>
      <c r="H108" s="18">
        <v>36.5</v>
      </c>
      <c r="I108" s="18">
        <v>-29.921478910509261</v>
      </c>
      <c r="J108" s="20"/>
      <c r="K108" s="18">
        <v>36.5</v>
      </c>
      <c r="L108" s="18">
        <v>-3.9547694965733156</v>
      </c>
      <c r="M108" s="18">
        <v>36.5</v>
      </c>
      <c r="N108" s="18">
        <v>-30.205582114875583</v>
      </c>
      <c r="O108" s="20"/>
      <c r="P108" s="18">
        <v>36.5</v>
      </c>
      <c r="Q108" s="18">
        <v>-3.5440547204569315</v>
      </c>
      <c r="R108" s="18">
        <v>36.5</v>
      </c>
      <c r="S108" s="18">
        <v>-30.256790023106472</v>
      </c>
      <c r="T108" s="18"/>
      <c r="U108" s="18">
        <v>36.5</v>
      </c>
      <c r="V108" s="18">
        <v>-3.3633995983186122</v>
      </c>
      <c r="W108" s="18">
        <v>36.5</v>
      </c>
      <c r="X108" s="18">
        <v>-30.281295144592217</v>
      </c>
    </row>
    <row r="109" spans="1:24" x14ac:dyDescent="0.2">
      <c r="A109" s="18">
        <v>37</v>
      </c>
      <c r="B109" s="18">
        <v>-1.2545390860200289</v>
      </c>
      <c r="C109" s="18">
        <v>37</v>
      </c>
      <c r="D109" s="18">
        <v>-30.910191738018188</v>
      </c>
      <c r="E109" s="20"/>
      <c r="F109" s="18">
        <v>37</v>
      </c>
      <c r="G109" s="18">
        <v>-5.8928356046504096</v>
      </c>
      <c r="H109" s="18">
        <v>37</v>
      </c>
      <c r="I109" s="18">
        <v>-30.410081511064359</v>
      </c>
      <c r="J109" s="20"/>
      <c r="K109" s="18">
        <v>37</v>
      </c>
      <c r="L109" s="18">
        <v>-4.014488161728206</v>
      </c>
      <c r="M109" s="18">
        <v>37</v>
      </c>
      <c r="N109" s="18">
        <v>-30.702118348055802</v>
      </c>
      <c r="O109" s="20"/>
      <c r="P109" s="18">
        <v>37</v>
      </c>
      <c r="Q109" s="18">
        <v>-3.5951579270063552</v>
      </c>
      <c r="R109" s="18">
        <v>37</v>
      </c>
      <c r="S109" s="18">
        <v>-30.754380345850837</v>
      </c>
      <c r="T109" s="18"/>
      <c r="U109" s="18">
        <v>37</v>
      </c>
      <c r="V109" s="18">
        <v>-3.4108748603213921</v>
      </c>
      <c r="W109" s="18">
        <v>37</v>
      </c>
      <c r="X109" s="18">
        <v>-30.779338229742024</v>
      </c>
    </row>
    <row r="110" spans="1:24" x14ac:dyDescent="0.2">
      <c r="A110" s="18">
        <v>37.5</v>
      </c>
      <c r="B110" s="18">
        <v>-1.269728088597688</v>
      </c>
      <c r="C110" s="18">
        <v>37.5</v>
      </c>
      <c r="D110" s="18">
        <v>-31.410261126603121</v>
      </c>
      <c r="E110" s="20"/>
      <c r="F110" s="18">
        <v>37.5</v>
      </c>
      <c r="G110" s="18">
        <v>-5.9994188903363961</v>
      </c>
      <c r="H110" s="18">
        <v>37.5</v>
      </c>
      <c r="I110" s="18">
        <v>-30.898611365733618</v>
      </c>
      <c r="J110" s="20"/>
      <c r="K110" s="18">
        <v>37.5</v>
      </c>
      <c r="L110" s="18">
        <v>-4.0742442931446767</v>
      </c>
      <c r="M110" s="18">
        <v>37.5</v>
      </c>
      <c r="N110" s="18">
        <v>-31.198649997572559</v>
      </c>
      <c r="O110" s="20"/>
      <c r="P110" s="18">
        <v>37.5</v>
      </c>
      <c r="Q110" s="18">
        <v>-3.6462782933315201</v>
      </c>
      <c r="R110" s="18">
        <v>37.5</v>
      </c>
      <c r="S110" s="18">
        <v>-31.251968829818626</v>
      </c>
      <c r="T110" s="18"/>
      <c r="U110" s="18">
        <v>37.5</v>
      </c>
      <c r="V110" s="18">
        <v>-3.4583611490607846</v>
      </c>
      <c r="W110" s="18">
        <v>37.5</v>
      </c>
      <c r="X110" s="18">
        <v>-31.277380187523111</v>
      </c>
    </row>
    <row r="111" spans="1:24" x14ac:dyDescent="0.2">
      <c r="A111" s="18">
        <v>38</v>
      </c>
      <c r="B111" s="18">
        <v>-1.2849206024616922</v>
      </c>
      <c r="C111" s="18">
        <v>38</v>
      </c>
      <c r="D111" s="18">
        <v>-31.910330332378603</v>
      </c>
      <c r="E111" s="20"/>
      <c r="F111" s="18">
        <v>38</v>
      </c>
      <c r="G111" s="18">
        <v>-6.1063253203994963</v>
      </c>
      <c r="H111" s="18">
        <v>38</v>
      </c>
      <c r="I111" s="18">
        <v>-31.387070531586769</v>
      </c>
      <c r="J111" s="20"/>
      <c r="K111" s="18">
        <v>38</v>
      </c>
      <c r="L111" s="18">
        <v>-4.1340372212830863</v>
      </c>
      <c r="M111" s="18">
        <v>38</v>
      </c>
      <c r="N111" s="18">
        <v>-31.695177141185084</v>
      </c>
      <c r="O111" s="20"/>
      <c r="P111" s="18">
        <v>38</v>
      </c>
      <c r="Q111" s="18">
        <v>-3.6974156816769166</v>
      </c>
      <c r="R111" s="18">
        <v>38</v>
      </c>
      <c r="S111" s="18">
        <v>-31.74955548856882</v>
      </c>
      <c r="T111" s="18"/>
      <c r="U111" s="18">
        <v>38</v>
      </c>
      <c r="V111" s="18">
        <v>-3.5058584197034737</v>
      </c>
      <c r="W111" s="18">
        <v>38</v>
      </c>
      <c r="X111" s="18">
        <v>-31.775421021962934</v>
      </c>
    </row>
    <row r="112" spans="1:24" x14ac:dyDescent="0.2">
      <c r="A112" s="18">
        <v>38.5</v>
      </c>
      <c r="B112" s="18">
        <v>-1.3001166147015661</v>
      </c>
      <c r="C112" s="18">
        <v>38.5</v>
      </c>
      <c r="D112" s="18">
        <v>-32.410399355712258</v>
      </c>
      <c r="E112" s="20"/>
      <c r="F112" s="18">
        <v>38.5</v>
      </c>
      <c r="G112" s="18">
        <v>-6.21354437790042</v>
      </c>
      <c r="H112" s="18">
        <v>38.5</v>
      </c>
      <c r="I112" s="18">
        <v>-31.875461093547635</v>
      </c>
      <c r="J112" s="20"/>
      <c r="K112" s="18">
        <v>38.5</v>
      </c>
      <c r="L112" s="18">
        <v>-4.1938662758931455</v>
      </c>
      <c r="M112" s="18">
        <v>38.5</v>
      </c>
      <c r="N112" s="18">
        <v>-32.191699856889194</v>
      </c>
      <c r="O112" s="20"/>
      <c r="P112" s="18">
        <v>38.5</v>
      </c>
      <c r="Q112" s="18">
        <v>-3.7485699479267724</v>
      </c>
      <c r="R112" s="18">
        <v>38.5</v>
      </c>
      <c r="S112" s="18">
        <v>-32.247140336328556</v>
      </c>
      <c r="T112" s="18"/>
      <c r="U112" s="18">
        <v>38.5</v>
      </c>
      <c r="V112" s="18">
        <v>-3.5533666226754606</v>
      </c>
      <c r="W112" s="18">
        <v>38.5</v>
      </c>
      <c r="X112" s="18">
        <v>-32.273460737543679</v>
      </c>
    </row>
    <row r="113" spans="1:24" x14ac:dyDescent="0.2">
      <c r="A113" s="18">
        <v>39</v>
      </c>
      <c r="B113" s="18">
        <v>-1.3153161100894393</v>
      </c>
      <c r="C113" s="18">
        <v>39</v>
      </c>
      <c r="D113" s="18">
        <v>-32.910468197042434</v>
      </c>
      <c r="E113" s="20"/>
      <c r="F113" s="18">
        <v>39</v>
      </c>
      <c r="G113" s="18">
        <v>-6.3210654982239278</v>
      </c>
      <c r="H113" s="18">
        <v>39</v>
      </c>
      <c r="I113" s="18">
        <v>-32.363785168115172</v>
      </c>
      <c r="J113" s="20"/>
      <c r="K113" s="18">
        <v>39</v>
      </c>
      <c r="L113" s="18">
        <v>-4.2537307800670385</v>
      </c>
      <c r="M113" s="18">
        <v>39</v>
      </c>
      <c r="N113" s="18">
        <v>-32.6882182236318</v>
      </c>
      <c r="O113" s="20"/>
      <c r="P113" s="18">
        <v>39</v>
      </c>
      <c r="Q113" s="18">
        <v>-3.7997409392591015</v>
      </c>
      <c r="R113" s="18">
        <v>39</v>
      </c>
      <c r="S113" s="18">
        <v>-32.744723388235137</v>
      </c>
      <c r="T113" s="18"/>
      <c r="U113" s="18">
        <v>39</v>
      </c>
      <c r="V113" s="18">
        <v>-3.600885702461083</v>
      </c>
      <c r="W113" s="18">
        <v>39</v>
      </c>
      <c r="X113" s="18">
        <v>-32.771499339317408</v>
      </c>
    </row>
    <row r="114" spans="1:24" x14ac:dyDescent="0.2">
      <c r="A114" s="18">
        <v>39.5</v>
      </c>
      <c r="B114" s="18">
        <v>-1.3305190707122412</v>
      </c>
      <c r="C114" s="18">
        <v>39.5</v>
      </c>
      <c r="D114" s="18">
        <v>-33.410536856889415</v>
      </c>
      <c r="E114" s="20"/>
      <c r="F114" s="18">
        <v>39.5</v>
      </c>
      <c r="G114" s="18">
        <v>-6.4288780494617095</v>
      </c>
      <c r="H114" s="18">
        <v>39.5</v>
      </c>
      <c r="I114" s="18">
        <v>-32.852044907119286</v>
      </c>
      <c r="J114" s="20"/>
      <c r="K114" s="18">
        <v>39.5</v>
      </c>
      <c r="L114" s="18">
        <v>-4.3136300442476694</v>
      </c>
      <c r="M114" s="18">
        <v>39.5</v>
      </c>
      <c r="N114" s="18">
        <v>-33.184732322032851</v>
      </c>
      <c r="O114" s="20"/>
      <c r="P114" s="18">
        <v>39.5</v>
      </c>
      <c r="Q114" s="18">
        <v>-3.8509284916708464</v>
      </c>
      <c r="R114" s="18">
        <v>39.5</v>
      </c>
      <c r="S114" s="18">
        <v>-33.242304660591657</v>
      </c>
      <c r="T114" s="18"/>
      <c r="U114" s="18">
        <v>39.5</v>
      </c>
      <c r="V114" s="18">
        <v>-3.648415596277613</v>
      </c>
      <c r="W114" s="18">
        <v>39.5</v>
      </c>
      <c r="X114" s="18">
        <v>-33.269536833033207</v>
      </c>
    </row>
    <row r="115" spans="1:24" x14ac:dyDescent="0.2">
      <c r="A115" s="18">
        <v>40</v>
      </c>
      <c r="B115" s="18">
        <v>-1.3457254755456691</v>
      </c>
      <c r="C115" s="18">
        <v>40</v>
      </c>
      <c r="D115" s="18">
        <v>-33.910605335868475</v>
      </c>
      <c r="E115" s="20"/>
      <c r="F115" s="18">
        <v>40</v>
      </c>
      <c r="G115" s="18">
        <v>-6.5369713128518683</v>
      </c>
      <c r="H115" s="18">
        <v>40</v>
      </c>
      <c r="I115" s="18">
        <v>-33.340242501511163</v>
      </c>
      <c r="J115" s="20"/>
      <c r="K115" s="18">
        <v>40</v>
      </c>
      <c r="L115" s="18">
        <v>-4.3735633601424206</v>
      </c>
      <c r="M115" s="18">
        <v>40</v>
      </c>
      <c r="N115" s="18">
        <v>-33.681242235120777</v>
      </c>
      <c r="O115" s="20"/>
      <c r="P115" s="18">
        <v>40</v>
      </c>
      <c r="Q115" s="18">
        <v>-3.902132427337015</v>
      </c>
      <c r="R115" s="18">
        <v>40</v>
      </c>
      <c r="S115" s="18">
        <v>-33.739884171140126</v>
      </c>
      <c r="T115" s="18"/>
      <c r="U115" s="18">
        <v>40</v>
      </c>
      <c r="V115" s="18">
        <v>-3.6959562325976765</v>
      </c>
      <c r="W115" s="18">
        <v>40</v>
      </c>
      <c r="X115" s="18">
        <v>-33.76757322527903</v>
      </c>
    </row>
    <row r="116" spans="1:24" x14ac:dyDescent="0.2">
      <c r="A116" s="18">
        <v>40.5</v>
      </c>
      <c r="B116" s="18">
        <v>-1.3609352999607103</v>
      </c>
      <c r="C116" s="18">
        <v>40.5</v>
      </c>
      <c r="D116" s="18">
        <v>-34.410673634704956</v>
      </c>
      <c r="E116" s="20"/>
      <c r="F116" s="18">
        <v>40.5</v>
      </c>
      <c r="G116" s="18">
        <v>-6.6453344632449518</v>
      </c>
      <c r="H116" s="18">
        <v>40.5</v>
      </c>
      <c r="I116" s="18">
        <v>-33.828380185187918</v>
      </c>
      <c r="J116" s="20"/>
      <c r="K116" s="18">
        <v>40.5</v>
      </c>
      <c r="L116" s="18">
        <v>-4.4335299944921607</v>
      </c>
      <c r="M116" s="18">
        <v>40.5</v>
      </c>
      <c r="N116" s="18">
        <v>-34.177748049087207</v>
      </c>
      <c r="O116" s="20"/>
      <c r="P116" s="18">
        <v>40.5</v>
      </c>
      <c r="Q116" s="18">
        <v>-3.9533525517642989</v>
      </c>
      <c r="R116" s="18">
        <v>40.5</v>
      </c>
      <c r="S116" s="18">
        <v>-34.237461939356123</v>
      </c>
      <c r="T116" s="18"/>
      <c r="U116" s="18">
        <v>40.5</v>
      </c>
      <c r="V116" s="18">
        <v>-3.7435075294879971</v>
      </c>
      <c r="W116" s="18">
        <v>40.5</v>
      </c>
      <c r="X116" s="18">
        <v>-34.265608523641248</v>
      </c>
    </row>
    <row r="117" spans="1:24" x14ac:dyDescent="0.2">
      <c r="A117" s="18">
        <v>41</v>
      </c>
      <c r="B117" s="18">
        <v>-1.3761485151520401</v>
      </c>
      <c r="C117" s="18">
        <v>41</v>
      </c>
      <c r="D117" s="18">
        <v>-34.91074175425176</v>
      </c>
      <c r="E117" s="20"/>
      <c r="F117" s="18">
        <v>41</v>
      </c>
      <c r="G117" s="18">
        <v>-6.7539565495670075</v>
      </c>
      <c r="H117" s="18">
        <v>41</v>
      </c>
      <c r="I117" s="18">
        <v>-34.316460238850944</v>
      </c>
      <c r="J117" s="20"/>
      <c r="K117" s="18">
        <v>41</v>
      </c>
      <c r="L117" s="18">
        <v>-4.493529182644223</v>
      </c>
      <c r="M117" s="18">
        <v>41</v>
      </c>
      <c r="N117" s="18">
        <v>-34.674249854067234</v>
      </c>
      <c r="O117" s="20"/>
      <c r="P117" s="18">
        <v>41</v>
      </c>
      <c r="Q117" s="18">
        <v>-4.0045886506966069</v>
      </c>
      <c r="R117" s="18">
        <v>41</v>
      </c>
      <c r="S117" s="18">
        <v>-34.735037986769427</v>
      </c>
      <c r="T117" s="18"/>
      <c r="U117" s="18">
        <v>41</v>
      </c>
      <c r="V117" s="18">
        <v>-3.7910693927284091</v>
      </c>
      <c r="W117" s="18">
        <v>41</v>
      </c>
      <c r="X117" s="18">
        <v>-34.763642736885295</v>
      </c>
    </row>
    <row r="118" spans="1:24" x14ac:dyDescent="0.2">
      <c r="A118" s="18">
        <v>41.5</v>
      </c>
      <c r="B118" s="18">
        <v>-1.3913650874759389</v>
      </c>
      <c r="C118" s="18">
        <v>41.5</v>
      </c>
      <c r="D118" s="18">
        <v>-35.41080969550962</v>
      </c>
      <c r="E118" s="20"/>
      <c r="F118" s="18">
        <v>41.5</v>
      </c>
      <c r="G118" s="18">
        <v>-6.8628264752505679</v>
      </c>
      <c r="H118" s="18">
        <v>41.5</v>
      </c>
      <c r="I118" s="18">
        <v>-34.80448499389766</v>
      </c>
      <c r="J118" s="20"/>
      <c r="K118" s="18">
        <v>41.5</v>
      </c>
      <c r="L118" s="18">
        <v>-4.553560121876588</v>
      </c>
      <c r="M118" s="18">
        <v>41.5</v>
      </c>
      <c r="N118" s="18">
        <v>-35.170747744951456</v>
      </c>
      <c r="O118" s="20"/>
      <c r="P118" s="18">
        <v>41.5</v>
      </c>
      <c r="Q118" s="18">
        <v>-4.0558404867263231</v>
      </c>
      <c r="R118" s="18">
        <v>41.5</v>
      </c>
      <c r="S118" s="18">
        <v>-35.232612337315352</v>
      </c>
      <c r="T118" s="18"/>
      <c r="U118" s="18">
        <v>41.5</v>
      </c>
      <c r="V118" s="18">
        <v>-3.8386417136696092</v>
      </c>
      <c r="W118" s="18">
        <v>41.5</v>
      </c>
      <c r="X118" s="18">
        <v>-35.261675875161437</v>
      </c>
    </row>
    <row r="119" spans="1:24" x14ac:dyDescent="0.2">
      <c r="A119" s="18">
        <v>42</v>
      </c>
      <c r="B119" s="18">
        <v>-1.4065849776834087</v>
      </c>
      <c r="C119" s="18">
        <v>42</v>
      </c>
      <c r="D119" s="18">
        <v>-35.910877459650528</v>
      </c>
      <c r="E119" s="20"/>
      <c r="F119" s="18">
        <v>42</v>
      </c>
      <c r="G119" s="18">
        <v>-6.9719329786048636</v>
      </c>
      <c r="H119" s="18">
        <v>42</v>
      </c>
      <c r="I119" s="18">
        <v>-35.292456836345643</v>
      </c>
      <c r="J119" s="20"/>
      <c r="K119" s="18">
        <v>42</v>
      </c>
      <c r="L119" s="18">
        <v>-4.6136219644186092</v>
      </c>
      <c r="M119" s="18">
        <v>42</v>
      </c>
      <c r="N119" s="18">
        <v>-35.667241822236335</v>
      </c>
      <c r="O119" s="20"/>
      <c r="P119" s="18">
        <v>42</v>
      </c>
      <c r="Q119" s="18">
        <v>-4.107107795560716</v>
      </c>
      <c r="R119" s="18">
        <v>42</v>
      </c>
      <c r="S119" s="18">
        <v>-35.730185017722079</v>
      </c>
      <c r="T119" s="18"/>
      <c r="U119" s="18">
        <v>42</v>
      </c>
      <c r="V119" s="18">
        <v>-3.8862243667817884</v>
      </c>
      <c r="W119" s="18">
        <v>42</v>
      </c>
      <c r="X119" s="18">
        <v>-35.759707950240227</v>
      </c>
    </row>
    <row r="120" spans="1:24" x14ac:dyDescent="0.2">
      <c r="A120" s="18">
        <v>42.5</v>
      </c>
      <c r="B120" s="18">
        <v>-1.4218081400319145</v>
      </c>
      <c r="C120" s="18">
        <v>42.5</v>
      </c>
      <c r="D120" s="18">
        <v>-36.410945048044937</v>
      </c>
      <c r="E120" s="20"/>
      <c r="F120" s="18">
        <v>42.5</v>
      </c>
      <c r="G120" s="18">
        <v>-7.0812646130969199</v>
      </c>
      <c r="H120" s="18">
        <v>42.5</v>
      </c>
      <c r="I120" s="18">
        <v>-35.780378210788349</v>
      </c>
      <c r="J120" s="20"/>
      <c r="K120" s="18">
        <v>42.5</v>
      </c>
      <c r="L120" s="18">
        <v>-4.6737138101113009</v>
      </c>
      <c r="M120" s="18">
        <v>42.5</v>
      </c>
      <c r="N120" s="18">
        <v>-36.163732192919682</v>
      </c>
      <c r="O120" s="20"/>
      <c r="P120" s="18">
        <v>42.5</v>
      </c>
      <c r="Q120" s="18">
        <v>-4.1583902818878613</v>
      </c>
      <c r="R120" s="18">
        <v>42.5</v>
      </c>
      <c r="S120" s="18">
        <v>-36.227756057939736</v>
      </c>
      <c r="T120" s="18"/>
      <c r="U120" s="18">
        <v>42.5</v>
      </c>
      <c r="V120" s="18">
        <v>-3.9338172068390254</v>
      </c>
      <c r="W120" s="18">
        <v>42.5</v>
      </c>
      <c r="X120" s="18">
        <v>-36.257738975782857</v>
      </c>
    </row>
    <row r="121" spans="1:24" x14ac:dyDescent="0.2">
      <c r="A121" s="18">
        <v>43</v>
      </c>
      <c r="B121" s="18">
        <v>-1.4370345212565507</v>
      </c>
      <c r="C121" s="18">
        <v>43</v>
      </c>
      <c r="D121" s="18">
        <v>-36.911012462293257</v>
      </c>
      <c r="E121" s="20"/>
      <c r="F121" s="18">
        <v>43</v>
      </c>
      <c r="G121" s="18">
        <v>-7.190809727515477</v>
      </c>
      <c r="H121" s="18">
        <v>43</v>
      </c>
      <c r="I121" s="18">
        <v>-36.268251624381179</v>
      </c>
      <c r="J121" s="20"/>
      <c r="K121" s="18">
        <v>43</v>
      </c>
      <c r="L121" s="18">
        <v>-4.7338346986473603</v>
      </c>
      <c r="M121" s="18">
        <v>43</v>
      </c>
      <c r="N121" s="18">
        <v>-36.660218971448387</v>
      </c>
      <c r="O121" s="20"/>
      <c r="P121" s="18">
        <v>43</v>
      </c>
      <c r="Q121" s="18">
        <v>-4.2096876147804903</v>
      </c>
      <c r="R121" s="18">
        <v>43</v>
      </c>
      <c r="S121" s="18">
        <v>-36.725325491617554</v>
      </c>
      <c r="T121" s="18"/>
      <c r="U121" s="18">
        <v>43</v>
      </c>
      <c r="V121" s="18">
        <v>-3.9814200656761218</v>
      </c>
      <c r="W121" s="18">
        <v>43</v>
      </c>
      <c r="X121" s="18">
        <v>-36.755768967652671</v>
      </c>
    </row>
    <row r="122" spans="1:24" x14ac:dyDescent="0.2">
      <c r="A122" s="18">
        <v>43.5</v>
      </c>
      <c r="B122" s="18">
        <v>-1.4522640593784077</v>
      </c>
      <c r="C122" s="18">
        <v>43.5</v>
      </c>
      <c r="D122" s="18">
        <v>-37.411079704262306</v>
      </c>
      <c r="E122" s="20"/>
      <c r="F122" s="18">
        <v>43.5</v>
      </c>
      <c r="G122" s="18">
        <v>-7.3005564459899466</v>
      </c>
      <c r="H122" s="18">
        <v>43.5</v>
      </c>
      <c r="I122" s="18">
        <v>-36.756079650856215</v>
      </c>
      <c r="J122" s="20"/>
      <c r="K122" s="18">
        <v>43.5</v>
      </c>
      <c r="L122" s="18">
        <v>-4.7939836013278576</v>
      </c>
      <c r="M122" s="18">
        <v>43.5</v>
      </c>
      <c r="N122" s="18">
        <v>-37.156702280726002</v>
      </c>
      <c r="O122" s="20"/>
      <c r="P122" s="18">
        <v>43.5</v>
      </c>
      <c r="Q122" s="18">
        <v>-4.2609994225693573</v>
      </c>
      <c r="R122" s="18">
        <v>43.5</v>
      </c>
      <c r="S122" s="18">
        <v>-37.222893356636256</v>
      </c>
      <c r="T122" s="18"/>
      <c r="U122" s="18">
        <v>43.5</v>
      </c>
      <c r="V122" s="18">
        <v>-4.029032748445319</v>
      </c>
      <c r="W122" s="18">
        <v>43.5</v>
      </c>
      <c r="X122" s="18">
        <v>-37.253797944274609</v>
      </c>
    </row>
    <row r="123" spans="1:24" x14ac:dyDescent="0.2">
      <c r="A123" s="18">
        <v>44</v>
      </c>
      <c r="B123" s="18">
        <v>-1.4674966823243953</v>
      </c>
      <c r="C123" s="18">
        <v>44</v>
      </c>
      <c r="D123" s="18">
        <v>-37.911146776127566</v>
      </c>
      <c r="E123" s="20"/>
      <c r="F123" s="18">
        <v>44</v>
      </c>
      <c r="G123" s="18">
        <v>-7.4104926478367927</v>
      </c>
      <c r="H123" s="18">
        <v>44</v>
      </c>
      <c r="I123" s="18">
        <v>-37.243864934563952</v>
      </c>
      <c r="J123" s="20"/>
      <c r="K123" s="18">
        <v>44</v>
      </c>
      <c r="L123" s="18">
        <v>-4.854159412268686</v>
      </c>
      <c r="M123" s="18">
        <v>44</v>
      </c>
      <c r="N123" s="18">
        <v>-37.653182253187978</v>
      </c>
      <c r="O123" s="20"/>
      <c r="P123" s="18">
        <v>44</v>
      </c>
      <c r="Q123" s="18">
        <v>-4.3123252871098705</v>
      </c>
      <c r="R123" s="18">
        <v>44</v>
      </c>
      <c r="S123" s="18">
        <v>-37.720459695703447</v>
      </c>
      <c r="T123" s="18"/>
      <c r="U123" s="18">
        <v>44</v>
      </c>
      <c r="V123" s="18">
        <v>-4.0766550292898351</v>
      </c>
      <c r="W123" s="18">
        <v>44</v>
      </c>
      <c r="X123" s="18">
        <v>-37.75182592705071</v>
      </c>
    </row>
    <row r="124" spans="1:24" x14ac:dyDescent="0.2">
      <c r="A124" s="18">
        <v>44.5</v>
      </c>
      <c r="B124" s="18">
        <v>-1.4827323063287168</v>
      </c>
      <c r="C124" s="18">
        <v>44.5</v>
      </c>
      <c r="D124" s="18">
        <v>-38.41121368042208</v>
      </c>
      <c r="E124" s="20"/>
      <c r="F124" s="18">
        <v>44.5</v>
      </c>
      <c r="G124" s="18">
        <v>-7.5206059472059215</v>
      </c>
      <c r="H124" s="18">
        <v>44.5</v>
      </c>
      <c r="I124" s="18">
        <v>-37.73161019453957</v>
      </c>
      <c r="J124" s="20"/>
      <c r="K124" s="18">
        <v>44.5</v>
      </c>
      <c r="L124" s="18">
        <v>-4.9143609389855527</v>
      </c>
      <c r="M124" s="18">
        <v>44.5</v>
      </c>
      <c r="N124" s="18">
        <v>-38.149659031953163</v>
      </c>
      <c r="O124" s="20"/>
      <c r="P124" s="18">
        <v>44.5</v>
      </c>
      <c r="Q124" s="18">
        <v>-4.3636647373567294</v>
      </c>
      <c r="R124" s="18">
        <v>44.5</v>
      </c>
      <c r="S124" s="18">
        <v>-38.218024557020946</v>
      </c>
      <c r="T124" s="18"/>
      <c r="U124" s="18">
        <v>44.5</v>
      </c>
      <c r="V124" s="18">
        <v>-4.1242866463391969</v>
      </c>
      <c r="W124" s="18">
        <v>44.5</v>
      </c>
      <c r="X124" s="18">
        <v>-38.249852940840796</v>
      </c>
    </row>
    <row r="125" spans="1:24" x14ac:dyDescent="0.2">
      <c r="A125" s="18">
        <v>45</v>
      </c>
      <c r="B125" s="18">
        <v>-1.4979708340814817</v>
      </c>
      <c r="C125" s="18">
        <v>45</v>
      </c>
      <c r="D125" s="18">
        <v>-38.911280420093149</v>
      </c>
      <c r="E125" s="20"/>
      <c r="F125" s="18">
        <v>45</v>
      </c>
      <c r="G125" s="18">
        <v>-7.6308836724997597</v>
      </c>
      <c r="H125" s="18">
        <v>45</v>
      </c>
      <c r="I125" s="18">
        <v>-38.219318228591192</v>
      </c>
      <c r="J125" s="20"/>
      <c r="K125" s="18">
        <v>45</v>
      </c>
      <c r="L125" s="18">
        <v>-4.974586892281371</v>
      </c>
      <c r="M125" s="18">
        <v>45</v>
      </c>
      <c r="N125" s="18">
        <v>-38.646132772060433</v>
      </c>
      <c r="O125" s="20"/>
      <c r="P125" s="18">
        <v>45</v>
      </c>
      <c r="Q125" s="18">
        <v>-4.4150172421511078</v>
      </c>
      <c r="R125" s="18">
        <v>45</v>
      </c>
      <c r="S125" s="18">
        <v>-38.715587995033765</v>
      </c>
      <c r="T125" s="18"/>
      <c r="U125" s="18">
        <v>45</v>
      </c>
      <c r="V125" s="18">
        <v>-4.1719272959174516</v>
      </c>
      <c r="W125" s="18">
        <v>45</v>
      </c>
      <c r="X125" s="18">
        <v>-38.747879014518702</v>
      </c>
    </row>
    <row r="126" spans="1:24" x14ac:dyDescent="0.2">
      <c r="A126" s="18">
        <v>45.5</v>
      </c>
      <c r="B126" s="18">
        <v>-1.5132121525844948</v>
      </c>
      <c r="C126" s="18">
        <v>45.5</v>
      </c>
      <c r="D126" s="18">
        <v>-39.411346998567929</v>
      </c>
      <c r="E126" s="20"/>
      <c r="F126" s="18">
        <v>45.5</v>
      </c>
      <c r="G126" s="18">
        <v>-7.741312845537796</v>
      </c>
      <c r="H126" s="18">
        <v>45.5</v>
      </c>
      <c r="I126" s="18">
        <v>-38.706991917406874</v>
      </c>
      <c r="J126" s="20"/>
      <c r="K126" s="18">
        <v>45.5</v>
      </c>
      <c r="L126" s="18">
        <v>-5.0348358753544087</v>
      </c>
      <c r="M126" s="18">
        <v>45.5</v>
      </c>
      <c r="N126" s="18">
        <v>-39.142603641800072</v>
      </c>
      <c r="O126" s="20"/>
      <c r="P126" s="18">
        <v>45.5</v>
      </c>
      <c r="Q126" s="18">
        <v>-4.4663822021132349</v>
      </c>
      <c r="R126" s="18">
        <v>45.5</v>
      </c>
      <c r="S126" s="18">
        <v>-39.213150071271869</v>
      </c>
      <c r="T126" s="18"/>
      <c r="U126" s="18">
        <v>45.5</v>
      </c>
      <c r="V126" s="18">
        <v>-4.2195766258391814</v>
      </c>
      <c r="W126" s="18">
        <v>45.5</v>
      </c>
      <c r="X126" s="18">
        <v>-39.245904181616154</v>
      </c>
    </row>
    <row r="127" spans="1:24" x14ac:dyDescent="0.2">
      <c r="A127" s="18">
        <v>46</v>
      </c>
      <c r="B127" s="18">
        <v>-1.5284561306679454</v>
      </c>
      <c r="C127" s="18">
        <v>46</v>
      </c>
      <c r="D127" s="18">
        <v>-39.911413419829401</v>
      </c>
      <c r="E127" s="20"/>
      <c r="F127" s="18">
        <v>46</v>
      </c>
      <c r="G127" s="18">
        <v>-7.8518801604393795</v>
      </c>
      <c r="H127" s="18">
        <v>46</v>
      </c>
      <c r="I127" s="18">
        <v>-39.194634228676634</v>
      </c>
      <c r="J127" s="20"/>
      <c r="K127" s="18">
        <v>46</v>
      </c>
      <c r="L127" s="18">
        <v>-5.0951063720393543</v>
      </c>
      <c r="M127" s="18">
        <v>46</v>
      </c>
      <c r="N127" s="18">
        <v>-39.639071824150221</v>
      </c>
      <c r="O127" s="20"/>
      <c r="P127" s="18">
        <v>46</v>
      </c>
      <c r="Q127" s="18">
        <v>-4.5177589405200216</v>
      </c>
      <c r="R127" s="18">
        <v>46</v>
      </c>
      <c r="S127" s="18">
        <v>-39.710710855296981</v>
      </c>
      <c r="T127" s="18"/>
      <c r="U127" s="18">
        <v>46</v>
      </c>
      <c r="V127" s="18">
        <v>-4.2672342276492214</v>
      </c>
      <c r="W127" s="18">
        <v>46</v>
      </c>
      <c r="X127" s="18">
        <v>-39.743928481068046</v>
      </c>
    </row>
    <row r="128" spans="1:24" x14ac:dyDescent="0.2">
      <c r="A128" s="18">
        <v>46.5</v>
      </c>
      <c r="B128" s="18">
        <v>-1.5437026161144238</v>
      </c>
      <c r="C128" s="18">
        <v>46.5</v>
      </c>
      <c r="D128" s="18">
        <v>-40.411479688504365</v>
      </c>
      <c r="E128" s="20"/>
      <c r="F128" s="18">
        <v>46.5</v>
      </c>
      <c r="G128" s="18">
        <v>-7.9625719621975914</v>
      </c>
      <c r="H128" s="18">
        <v>46.5</v>
      </c>
      <c r="I128" s="18">
        <v>-39.682248221225223</v>
      </c>
      <c r="J128" s="20"/>
      <c r="K128" s="18">
        <v>46.5</v>
      </c>
      <c r="L128" s="18">
        <v>-5.1553967340866063</v>
      </c>
      <c r="M128" s="18">
        <v>46.5</v>
      </c>
      <c r="N128" s="18">
        <v>-40.135537518329244</v>
      </c>
      <c r="O128" s="20"/>
      <c r="P128" s="18">
        <v>46.5</v>
      </c>
      <c r="Q128" s="18">
        <v>-4.5691466930323426</v>
      </c>
      <c r="R128" s="18">
        <v>46.5</v>
      </c>
      <c r="S128" s="18">
        <v>-40.208270425768369</v>
      </c>
      <c r="T128" s="18"/>
      <c r="U128" s="18">
        <v>46.5</v>
      </c>
      <c r="V128" s="18">
        <v>-4.3148996276396536</v>
      </c>
      <c r="W128" s="18">
        <v>46.5</v>
      </c>
      <c r="X128" s="18">
        <v>-40.241951958074978</v>
      </c>
    </row>
    <row r="129" spans="1:24" x14ac:dyDescent="0.2">
      <c r="A129" s="18">
        <v>47</v>
      </c>
      <c r="B129" s="18">
        <v>-1.5589514323282263</v>
      </c>
      <c r="C129" s="18">
        <v>47</v>
      </c>
      <c r="D129" s="18">
        <v>-40.911545809965297</v>
      </c>
      <c r="E129" s="20"/>
      <c r="F129" s="18">
        <v>47</v>
      </c>
      <c r="G129" s="18">
        <v>-8.0733742249169431</v>
      </c>
      <c r="H129" s="18">
        <v>47</v>
      </c>
      <c r="I129" s="18">
        <v>-40.169837049150779</v>
      </c>
      <c r="J129" s="20"/>
      <c r="K129" s="18">
        <v>47</v>
      </c>
      <c r="L129" s="18">
        <v>-5.2157051673774575</v>
      </c>
      <c r="M129" s="18">
        <v>47</v>
      </c>
      <c r="N129" s="18">
        <v>-40.632000941475944</v>
      </c>
      <c r="O129" s="20"/>
      <c r="P129" s="18">
        <v>47</v>
      </c>
      <c r="Q129" s="18">
        <v>-4.6205445961195943</v>
      </c>
      <c r="R129" s="18">
        <v>47</v>
      </c>
      <c r="S129" s="18">
        <v>-40.705828871643135</v>
      </c>
      <c r="T129" s="18"/>
      <c r="U129" s="18">
        <v>47</v>
      </c>
      <c r="V129" s="18">
        <v>-4.3625722764514343</v>
      </c>
      <c r="W129" s="18">
        <v>47</v>
      </c>
      <c r="X129" s="18">
        <v>-40.739974665101514</v>
      </c>
    </row>
    <row r="130" spans="1:24" x14ac:dyDescent="0.2">
      <c r="A130" s="18">
        <v>47.5</v>
      </c>
      <c r="B130" s="18">
        <v>-1.5742023744781253</v>
      </c>
      <c r="C130" s="18">
        <v>47.5</v>
      </c>
      <c r="D130" s="18">
        <v>-41.411611790448283</v>
      </c>
      <c r="E130" s="20"/>
      <c r="F130" s="18">
        <v>47.5</v>
      </c>
      <c r="G130" s="18">
        <v>-8.1842725296875862</v>
      </c>
      <c r="H130" s="18">
        <v>47.5</v>
      </c>
      <c r="I130" s="18">
        <v>-40.657403965963645</v>
      </c>
      <c r="J130" s="20"/>
      <c r="K130" s="18">
        <v>47.5</v>
      </c>
      <c r="L130" s="18">
        <v>-5.2760297169644028</v>
      </c>
      <c r="M130" s="18">
        <v>47.5</v>
      </c>
      <c r="N130" s="18">
        <v>-41.128462330470121</v>
      </c>
      <c r="O130" s="20"/>
      <c r="P130" s="18">
        <v>47.5</v>
      </c>
      <c r="Q130" s="18">
        <v>-4.671951674009863</v>
      </c>
      <c r="R130" s="18">
        <v>47.5</v>
      </c>
      <c r="S130" s="18">
        <v>-41.203386293528467</v>
      </c>
      <c r="T130" s="18"/>
      <c r="U130" s="18">
        <v>47.5</v>
      </c>
      <c r="V130" s="18">
        <v>-4.410251537037392</v>
      </c>
      <c r="W130" s="18">
        <v>47.5</v>
      </c>
      <c r="X130" s="18">
        <v>-41.237996663031311</v>
      </c>
    </row>
    <row r="131" spans="1:24" x14ac:dyDescent="0.2">
      <c r="A131" s="18">
        <v>48</v>
      </c>
      <c r="B131" s="18">
        <v>-1.5894552050304425</v>
      </c>
      <c r="C131" s="18">
        <v>48</v>
      </c>
      <c r="D131" s="18">
        <v>-41.911677637189477</v>
      </c>
      <c r="E131" s="20"/>
      <c r="F131" s="18">
        <v>48</v>
      </c>
      <c r="G131" s="18">
        <v>-8.2952520420686007</v>
      </c>
      <c r="H131" s="18">
        <v>48</v>
      </c>
      <c r="I131" s="18">
        <v>-41.144952328719043</v>
      </c>
      <c r="J131" s="20"/>
      <c r="K131" s="18">
        <v>48</v>
      </c>
      <c r="L131" s="18">
        <v>-5.3363682508164603</v>
      </c>
      <c r="M131" s="18">
        <v>48</v>
      </c>
      <c r="N131" s="18">
        <v>-41.624921943907133</v>
      </c>
      <c r="O131" s="20"/>
      <c r="P131" s="18">
        <v>48</v>
      </c>
      <c r="Q131" s="18">
        <v>-4.7233668239722704</v>
      </c>
      <c r="R131" s="18">
        <v>48</v>
      </c>
      <c r="S131" s="18">
        <v>-41.700942805205479</v>
      </c>
      <c r="T131" s="18"/>
      <c r="U131" s="18">
        <v>48</v>
      </c>
      <c r="V131" s="18">
        <v>-4.4579366707277313</v>
      </c>
      <c r="W131" s="18">
        <v>48</v>
      </c>
      <c r="X131" s="18">
        <v>-41.736018022503821</v>
      </c>
    </row>
    <row r="132" spans="1:24" x14ac:dyDescent="0.2">
      <c r="A132" s="18">
        <v>48.5</v>
      </c>
      <c r="B132" s="18">
        <v>-1.6047096485761441</v>
      </c>
      <c r="C132" s="18">
        <v>48.5</v>
      </c>
      <c r="D132" s="18">
        <v>-42.411743358583138</v>
      </c>
      <c r="E132" s="20"/>
      <c r="F132" s="18">
        <v>48.5</v>
      </c>
      <c r="G132" s="18">
        <v>-8.4062974891527862</v>
      </c>
      <c r="H132" s="18">
        <v>48.5</v>
      </c>
      <c r="I132" s="18">
        <v>-41.632485602136363</v>
      </c>
      <c r="J132" s="20"/>
      <c r="K132" s="18">
        <v>48.5</v>
      </c>
      <c r="L132" s="18">
        <v>-5.396718442139135</v>
      </c>
      <c r="M132" s="18">
        <v>48.5</v>
      </c>
      <c r="N132" s="18">
        <v>-42.121380064240974</v>
      </c>
      <c r="O132" s="20"/>
      <c r="P132" s="18">
        <v>48.5</v>
      </c>
      <c r="Q132" s="18">
        <v>-4.774788799713396</v>
      </c>
      <c r="R132" s="18">
        <v>48.5</v>
      </c>
      <c r="S132" s="18">
        <v>-42.19849853534663</v>
      </c>
      <c r="T132" s="18"/>
      <c r="U132" s="18">
        <v>48.5</v>
      </c>
      <c r="V132" s="18">
        <v>-4.5056268210978789</v>
      </c>
      <c r="W132" s="18">
        <v>48.5</v>
      </c>
      <c r="X132" s="18">
        <v>-42.2340388254609</v>
      </c>
    </row>
    <row r="133" spans="1:24" x14ac:dyDescent="0.2">
      <c r="A133" s="18">
        <v>49</v>
      </c>
      <c r="B133" s="18">
        <v>-1.6199653858404868</v>
      </c>
      <c r="C133" s="18">
        <v>49</v>
      </c>
      <c r="D133" s="18">
        <v>-42.911808964364418</v>
      </c>
      <c r="E133" s="20"/>
      <c r="F133" s="18">
        <v>49</v>
      </c>
      <c r="G133" s="18">
        <v>-8.5173931361851611</v>
      </c>
      <c r="H133" s="18">
        <v>49</v>
      </c>
      <c r="I133" s="18">
        <v>-42.120007362697073</v>
      </c>
      <c r="J133" s="20"/>
      <c r="K133" s="18">
        <v>49</v>
      </c>
      <c r="L133" s="18">
        <v>-5.4570777501273264</v>
      </c>
      <c r="M133" s="18">
        <v>49</v>
      </c>
      <c r="N133" s="18">
        <v>-42.61783700011145</v>
      </c>
      <c r="O133" s="20"/>
      <c r="P133" s="18">
        <v>49</v>
      </c>
      <c r="Q133" s="18">
        <v>-4.8262161926418132</v>
      </c>
      <c r="R133" s="18">
        <v>49</v>
      </c>
      <c r="S133" s="18">
        <v>-42.69605362945142</v>
      </c>
      <c r="T133" s="18"/>
      <c r="U133" s="18">
        <v>49</v>
      </c>
      <c r="V133" s="18">
        <v>-4.5533209952907692</v>
      </c>
      <c r="W133" s="18">
        <v>49</v>
      </c>
      <c r="X133" s="18">
        <v>-42.732059166936288</v>
      </c>
    </row>
    <row r="134" spans="1:24" x14ac:dyDescent="0.2">
      <c r="A134" s="18">
        <v>49.5</v>
      </c>
      <c r="B134" s="18">
        <v>-1.6352220467461516</v>
      </c>
      <c r="C134" s="18">
        <v>49.5</v>
      </c>
      <c r="D134" s="18">
        <v>-43.411874465820887</v>
      </c>
      <c r="E134" s="20"/>
      <c r="F134" s="18">
        <v>49.5</v>
      </c>
      <c r="G134" s="18">
        <v>-8.628522762707215</v>
      </c>
      <c r="H134" s="18">
        <v>49.5</v>
      </c>
      <c r="I134" s="18">
        <v>-42.60752130271198</v>
      </c>
      <c r="J134" s="20"/>
      <c r="K134" s="18">
        <v>49.5</v>
      </c>
      <c r="L134" s="18">
        <v>-5.5174433989970284</v>
      </c>
      <c r="M134" s="18">
        <v>49.5</v>
      </c>
      <c r="N134" s="18">
        <v>-43.11429308887228</v>
      </c>
      <c r="O134" s="20"/>
      <c r="P134" s="18">
        <v>49.5</v>
      </c>
      <c r="Q134" s="18">
        <v>-4.8776474107232923</v>
      </c>
      <c r="R134" s="18">
        <v>49.5</v>
      </c>
      <c r="S134" s="18">
        <v>-43.193608252027985</v>
      </c>
      <c r="T134" s="18"/>
      <c r="U134" s="18">
        <v>49.5</v>
      </c>
      <c r="V134" s="18">
        <v>-4.6010180423904448</v>
      </c>
      <c r="W134" s="18">
        <v>49.5</v>
      </c>
      <c r="X134" s="18">
        <v>-43.230079157125786</v>
      </c>
    </row>
    <row r="135" spans="1:24" x14ac:dyDescent="0.2">
      <c r="A135" s="18">
        <v>50</v>
      </c>
      <c r="B135" s="18">
        <v>-1.6504792023804602</v>
      </c>
      <c r="C135" s="18">
        <v>50</v>
      </c>
      <c r="D135" s="18">
        <v>-43.911939876037273</v>
      </c>
      <c r="E135" s="20"/>
      <c r="F135" s="18">
        <v>50</v>
      </c>
      <c r="G135" s="18">
        <v>-8.7396696381986345</v>
      </c>
      <c r="H135" s="18">
        <v>50</v>
      </c>
      <c r="I135" s="18">
        <v>-43.095031234348006</v>
      </c>
      <c r="J135" s="20"/>
      <c r="K135" s="18">
        <v>50</v>
      </c>
      <c r="L135" s="18">
        <v>-5.5778123551280361</v>
      </c>
      <c r="M135" s="18">
        <v>50</v>
      </c>
      <c r="N135" s="18">
        <v>-43.610748699338039</v>
      </c>
      <c r="O135" s="20"/>
      <c r="P135" s="18">
        <v>50</v>
      </c>
      <c r="Q135" s="18">
        <v>-4.9290806546136388</v>
      </c>
      <c r="R135" s="18">
        <v>50</v>
      </c>
      <c r="S135" s="18">
        <v>-43.691162589051693</v>
      </c>
      <c r="T135" s="18"/>
      <c r="U135" s="18">
        <v>50</v>
      </c>
      <c r="V135" s="18">
        <v>-4.6487166283799795</v>
      </c>
      <c r="W135" s="18">
        <v>50</v>
      </c>
      <c r="X135" s="18">
        <v>-43.728098923782085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8"/>
  <sheetViews>
    <sheetView zoomScale="96" zoomScaleNormal="96" workbookViewId="0">
      <selection activeCell="B6" sqref="B6"/>
    </sheetView>
  </sheetViews>
  <sheetFormatPr defaultRowHeight="12.75" x14ac:dyDescent="0.2"/>
  <cols>
    <col min="1" max="1" width="9.5703125" customWidth="1"/>
    <col min="2" max="2" width="9.85546875" customWidth="1"/>
    <col min="5" max="5" width="9.85546875" customWidth="1"/>
    <col min="8" max="8" width="10" customWidth="1"/>
    <col min="11" max="11" width="10.28515625" customWidth="1"/>
  </cols>
  <sheetData>
    <row r="1" spans="1:11" x14ac:dyDescent="0.2">
      <c r="A1" t="e">
        <f>"["&amp;PEMS!F23&amp;"_"&amp;PEMS!F24&amp;"_"&amp;LEFT(PEMS!#REF!,1)&amp;"_"&amp;LEFT(PEMS!#REF!,2)&amp;"]"</f>
        <v>#REF!</v>
      </c>
    </row>
    <row r="2" spans="1:11" ht="13.5" thickBot="1" x14ac:dyDescent="0.25">
      <c r="A2" s="3"/>
      <c r="D2" s="3"/>
      <c r="G2" s="3"/>
      <c r="J2" s="3"/>
    </row>
    <row r="3" spans="1:11" ht="39" thickBot="1" x14ac:dyDescent="0.25">
      <c r="A3" s="5" t="s">
        <v>90</v>
      </c>
      <c r="B3" s="5" t="s">
        <v>91</v>
      </c>
      <c r="D3" s="5" t="s">
        <v>90</v>
      </c>
      <c r="E3" s="5" t="s">
        <v>91</v>
      </c>
      <c r="G3" s="5" t="s">
        <v>90</v>
      </c>
      <c r="H3" s="5" t="s">
        <v>91</v>
      </c>
      <c r="J3" s="5" t="s">
        <v>90</v>
      </c>
      <c r="K3" s="5" t="s">
        <v>91</v>
      </c>
    </row>
    <row r="4" spans="1:11" ht="13.5" thickBot="1" x14ac:dyDescent="0.25">
      <c r="A4" s="6">
        <f>Results!G1</f>
        <v>343.35195699756673</v>
      </c>
      <c r="B4" s="6">
        <f>Results!G2</f>
        <v>625.37207057894614</v>
      </c>
      <c r="C4" s="7"/>
      <c r="D4" s="6">
        <f>Results!L1</f>
        <v>1517.2840798604873</v>
      </c>
      <c r="E4" s="6">
        <f>Results!L2</f>
        <v>691.92525905883497</v>
      </c>
      <c r="F4" s="7"/>
      <c r="G4" s="6">
        <f>Results!Q1</f>
        <v>2691.2042088199705</v>
      </c>
      <c r="H4" s="6">
        <f>Results!Q2</f>
        <v>758.52175225021131</v>
      </c>
      <c r="I4" s="7"/>
      <c r="J4" s="6">
        <f>Results!V1</f>
        <v>3865.1474458911512</v>
      </c>
      <c r="K4" s="6">
        <f>Results!V2</f>
        <v>824.80984716282342</v>
      </c>
    </row>
    <row r="5" spans="1:11" ht="45" customHeight="1" thickBot="1" x14ac:dyDescent="0.25">
      <c r="A5" s="10" t="s">
        <v>92</v>
      </c>
      <c r="B5" s="11" t="s">
        <v>93</v>
      </c>
      <c r="D5" s="10" t="s">
        <v>92</v>
      </c>
      <c r="E5" s="11" t="s">
        <v>93</v>
      </c>
      <c r="G5" s="10" t="s">
        <v>92</v>
      </c>
      <c r="H5" s="11" t="s">
        <v>93</v>
      </c>
      <c r="J5" s="10" t="s">
        <v>92</v>
      </c>
      <c r="K5" s="11" t="s">
        <v>93</v>
      </c>
    </row>
    <row r="6" spans="1:11" x14ac:dyDescent="0.2">
      <c r="A6" s="8">
        <f>Results!F5</f>
        <v>0</v>
      </c>
      <c r="B6" s="12">
        <f>SQRT((Results!G5-Results!$B5)^2+(Results!I5-Results!$D5)^2)</f>
        <v>0</v>
      </c>
      <c r="D6" s="8">
        <f>A6</f>
        <v>0</v>
      </c>
      <c r="E6" s="12">
        <f>SQRT((Results!L5-Results!$B5)^2+(Results!N5-Results!$D5)^2)</f>
        <v>0</v>
      </c>
      <c r="G6" s="8">
        <f>A6</f>
        <v>0</v>
      </c>
      <c r="H6" s="12">
        <f>SQRT((Results!Q5-Results!$B5)^2+(Results!S5-Results!$D5)^2)</f>
        <v>0</v>
      </c>
      <c r="J6" s="8">
        <f>A6</f>
        <v>0</v>
      </c>
      <c r="K6" s="12">
        <f>SQRT((Results!V5-Results!$B5)^2+(Results!X5-Results!$D5)^2)</f>
        <v>0</v>
      </c>
    </row>
    <row r="7" spans="1:11" x14ac:dyDescent="0.2">
      <c r="A7" s="9">
        <f>Results!F6</f>
        <v>0.2</v>
      </c>
      <c r="B7" s="13">
        <f>SQRT((Results!G6-Results!$B6)^2+(Results!I6-Results!$D6)^2)</f>
        <v>3.0848964048934641E-4</v>
      </c>
      <c r="D7" s="9">
        <f t="shared" ref="D7:D69" si="0">A7</f>
        <v>0.2</v>
      </c>
      <c r="E7" s="13">
        <f>SQRT((Results!L6-Results!$B6)^2+(Results!N6-Results!$D6)^2)</f>
        <v>3.2681357251339099E-4</v>
      </c>
      <c r="G7" s="9">
        <f t="shared" ref="G7:G69" si="1">A7</f>
        <v>0.2</v>
      </c>
      <c r="H7" s="13">
        <f>SQRT((Results!Q6-Results!$B6)^2+(Results!S6-Results!$D6)^2)</f>
        <v>3.5087384496904799E-4</v>
      </c>
      <c r="J7" s="9">
        <f t="shared" ref="J7:J69" si="2">A7</f>
        <v>0.2</v>
      </c>
      <c r="K7" s="13">
        <f>SQRT((Results!V6-Results!$B6)^2+(Results!X6-Results!$D6)^2)</f>
        <v>3.7942544737626008E-4</v>
      </c>
    </row>
    <row r="8" spans="1:11" x14ac:dyDescent="0.2">
      <c r="A8" s="9">
        <f>Results!F7</f>
        <v>0.4</v>
      </c>
      <c r="B8" s="13">
        <f>SQRT((Results!G7-Results!$B7)^2+(Results!I7-Results!$D7)^2)</f>
        <v>1.1626107092463352E-3</v>
      </c>
      <c r="D8" s="9">
        <f t="shared" si="0"/>
        <v>0.4</v>
      </c>
      <c r="E8" s="13">
        <f>SQRT((Results!L7-Results!$B7)^2+(Results!N7-Results!$D7)^2)</f>
        <v>1.2586458268365609E-3</v>
      </c>
      <c r="G8" s="9">
        <f t="shared" si="1"/>
        <v>0.4</v>
      </c>
      <c r="H8" s="13">
        <f>SQRT((Results!Q7-Results!$B7)^2+(Results!S7-Results!$D7)^2)</f>
        <v>1.3638757041014213E-3</v>
      </c>
      <c r="J8" s="9">
        <f t="shared" si="2"/>
        <v>0.4</v>
      </c>
      <c r="K8" s="13">
        <f>SQRT((Results!V7-Results!$B7)^2+(Results!X7-Results!$D7)^2)</f>
        <v>1.4738369877071807E-3</v>
      </c>
    </row>
    <row r="9" spans="1:11" x14ac:dyDescent="0.2">
      <c r="A9" s="9">
        <f>Results!F8</f>
        <v>0.60000000000000009</v>
      </c>
      <c r="B9" s="13">
        <f>SQRT((Results!G8-Results!$B8)^2+(Results!I8-Results!$D8)^2)</f>
        <v>2.5727253878096716E-3</v>
      </c>
      <c r="D9" s="9">
        <f t="shared" si="0"/>
        <v>0.60000000000000009</v>
      </c>
      <c r="E9" s="13">
        <f>SQRT((Results!L8-Results!$B8)^2+(Results!N8-Results!$D8)^2)</f>
        <v>2.7813983740280351E-3</v>
      </c>
      <c r="G9" s="9">
        <f t="shared" si="1"/>
        <v>0.60000000000000009</v>
      </c>
      <c r="H9" s="13">
        <f>SQRT((Results!Q8-Results!$B8)^2+(Results!S8-Results!$D8)^2)</f>
        <v>3.0087740019877417E-3</v>
      </c>
      <c r="J9" s="9">
        <f t="shared" si="2"/>
        <v>0.60000000000000009</v>
      </c>
      <c r="K9" s="13">
        <f>SQRT((Results!V8-Results!$B8)^2+(Results!X8-Results!$D8)^2)</f>
        <v>3.241909880587189E-3</v>
      </c>
    </row>
    <row r="10" spans="1:11" x14ac:dyDescent="0.2">
      <c r="A10" s="9">
        <f>Results!F9</f>
        <v>0.8</v>
      </c>
      <c r="B10" s="13">
        <f>SQRT((Results!G9-Results!$B9)^2+(Results!I9-Results!$D9)^2)</f>
        <v>4.530112033325628E-3</v>
      </c>
      <c r="D10" s="9">
        <f t="shared" si="0"/>
        <v>0.8</v>
      </c>
      <c r="E10" s="13">
        <f>SQRT((Results!L9-Results!$B9)^2+(Results!N9-Results!$D9)^2)</f>
        <v>4.873662251979426E-3</v>
      </c>
      <c r="G10" s="9">
        <f t="shared" si="1"/>
        <v>0.8</v>
      </c>
      <c r="H10" s="13">
        <f>SQRT((Results!Q9-Results!$B9)^2+(Results!S9-Results!$D9)^2)</f>
        <v>5.2550093773437567E-3</v>
      </c>
      <c r="J10" s="9">
        <f t="shared" si="2"/>
        <v>0.8</v>
      </c>
      <c r="K10" s="13">
        <f>SQRT((Results!V9-Results!$B9)^2+(Results!X9-Results!$D9)^2)</f>
        <v>5.6447130214478227E-3</v>
      </c>
    </row>
    <row r="11" spans="1:11" x14ac:dyDescent="0.2">
      <c r="A11" s="9">
        <f>Results!F10</f>
        <v>1</v>
      </c>
      <c r="B11" s="13">
        <f>SQRT((Results!G10-Results!$B10)^2+(Results!I10-Results!$D10)^2)</f>
        <v>7.0258739504760115E-3</v>
      </c>
      <c r="D11" s="9">
        <f t="shared" si="0"/>
        <v>1</v>
      </c>
      <c r="E11" s="13">
        <f>SQRT((Results!L10-Results!$B10)^2+(Results!N10-Results!$D10)^2)</f>
        <v>7.5147501906944166E-3</v>
      </c>
      <c r="G11" s="9">
        <f t="shared" si="1"/>
        <v>1</v>
      </c>
      <c r="H11" s="13">
        <f>SQRT((Results!Q10-Results!$B10)^2+(Results!S10-Results!$D10)^2)</f>
        <v>8.0735003175105118E-3</v>
      </c>
      <c r="J11" s="9">
        <f t="shared" si="2"/>
        <v>1</v>
      </c>
      <c r="K11" s="13">
        <f>SQRT((Results!V10-Results!$B10)^2+(Results!X10-Results!$D10)^2)</f>
        <v>8.6455708701108792E-3</v>
      </c>
    </row>
    <row r="12" spans="1:11" x14ac:dyDescent="0.2">
      <c r="A12" s="9">
        <f>Results!F11</f>
        <v>1.2</v>
      </c>
      <c r="B12" s="13">
        <f>SQRT((Results!G11-Results!$B11)^2+(Results!I11-Results!$D11)^2)</f>
        <v>1.0051239168209119E-2</v>
      </c>
      <c r="D12" s="9">
        <f t="shared" si="0"/>
        <v>1.2</v>
      </c>
      <c r="E12" s="13">
        <f>SQRT((Results!L11-Results!$B11)^2+(Results!N11-Results!$D11)^2)</f>
        <v>1.0684728739032799E-2</v>
      </c>
      <c r="G12" s="9">
        <f t="shared" si="1"/>
        <v>1.2</v>
      </c>
      <c r="H12" s="13">
        <f>SQRT((Results!Q11-Results!$B11)^2+(Results!S11-Results!$D11)^2)</f>
        <v>1.1436578443144765E-2</v>
      </c>
      <c r="J12" s="9">
        <f t="shared" si="2"/>
        <v>1.2</v>
      </c>
      <c r="K12" s="13">
        <f>SQRT((Results!V11-Results!$B11)^2+(Results!X11-Results!$D11)^2)</f>
        <v>1.2209933180509499E-2</v>
      </c>
    </row>
    <row r="13" spans="1:11" x14ac:dyDescent="0.2">
      <c r="A13" s="9">
        <f>Results!F12</f>
        <v>1.4</v>
      </c>
      <c r="B13" s="13">
        <f>SQRT((Results!G12-Results!$B12)^2+(Results!I12-Results!$D12)^2)</f>
        <v>1.3597588975344833E-2</v>
      </c>
      <c r="D13" s="9">
        <f t="shared" si="0"/>
        <v>1.4</v>
      </c>
      <c r="E13" s="13">
        <f>SQRT((Results!L12-Results!$B12)^2+(Results!N12-Results!$D12)^2)</f>
        <v>1.4364396980273879E-2</v>
      </c>
      <c r="G13" s="9">
        <f t="shared" si="1"/>
        <v>1.4</v>
      </c>
      <c r="H13" s="13">
        <f>SQRT((Results!Q12-Results!$B12)^2+(Results!S12-Results!$D12)^2)</f>
        <v>1.5317920828267785E-2</v>
      </c>
      <c r="J13" s="9">
        <f t="shared" si="2"/>
        <v>1.4</v>
      </c>
      <c r="K13" s="13">
        <f>SQRT((Results!V12-Results!$B12)^2+(Results!X12-Results!$D12)^2)</f>
        <v>1.6305252134057899E-2</v>
      </c>
    </row>
    <row r="14" spans="1:11" x14ac:dyDescent="0.2">
      <c r="A14" s="9">
        <f>Results!F13</f>
        <v>1.5999999999999999</v>
      </c>
      <c r="B14" s="13">
        <f>SQRT((Results!G13-Results!$B13)^2+(Results!I13-Results!$D13)^2)</f>
        <v>1.7656461092390479E-2</v>
      </c>
      <c r="D14" s="9">
        <f t="shared" si="0"/>
        <v>1.5999999999999999</v>
      </c>
      <c r="E14" s="13">
        <f>SQRT((Results!L13-Results!$B13)^2+(Results!N13-Results!$D13)^2)</f>
        <v>1.8535260889195156E-2</v>
      </c>
      <c r="G14" s="9">
        <f t="shared" si="1"/>
        <v>1.5999999999999999</v>
      </c>
      <c r="H14" s="13">
        <f>SQRT((Results!Q13-Results!$B13)^2+(Results!S13-Results!$D13)^2)</f>
        <v>1.9692484856392974E-2</v>
      </c>
      <c r="J14" s="9">
        <f t="shared" si="2"/>
        <v>1.5999999999999999</v>
      </c>
      <c r="K14" s="13">
        <f>SQRT((Results!V13-Results!$B13)^2+(Results!X13-Results!$D13)^2)</f>
        <v>2.0900866478162753E-2</v>
      </c>
    </row>
    <row r="15" spans="1:11" x14ac:dyDescent="0.2">
      <c r="A15" s="9">
        <f>Results!F14</f>
        <v>1.7999999999999998</v>
      </c>
      <c r="B15" s="13">
        <f>SQRT((Results!G14-Results!$B14)^2+(Results!I14-Results!$D14)^2)</f>
        <v>2.2219548295326661E-2</v>
      </c>
      <c r="D15" s="9">
        <f t="shared" si="0"/>
        <v>1.7999999999999998</v>
      </c>
      <c r="E15" s="13">
        <f>SQRT((Results!L14-Results!$B14)^2+(Results!N14-Results!$D14)^2)</f>
        <v>2.3179507628448396E-2</v>
      </c>
      <c r="G15" s="9">
        <f t="shared" si="1"/>
        <v>1.7999999999999998</v>
      </c>
      <c r="H15" s="13">
        <f>SQRT((Results!Q14-Results!$B14)^2+(Results!S14-Results!$D14)^2)</f>
        <v>2.4536446043272053E-2</v>
      </c>
      <c r="J15" s="9">
        <f t="shared" si="2"/>
        <v>1.7999999999999998</v>
      </c>
      <c r="K15" s="13">
        <f>SQRT((Results!V14-Results!$B14)^2+(Results!X14-Results!$D14)^2)</f>
        <v>2.5967892288634165E-2</v>
      </c>
    </row>
    <row r="16" spans="1:11" x14ac:dyDescent="0.2">
      <c r="A16" s="9">
        <f>Results!F15</f>
        <v>1.9999999999999998</v>
      </c>
      <c r="B16" s="13">
        <f>SQRT((Results!G15-Results!$B15)^2+(Results!I15-Results!$D15)^2)</f>
        <v>2.7278695917053859E-2</v>
      </c>
      <c r="D16" s="9">
        <f t="shared" si="0"/>
        <v>1.9999999999999998</v>
      </c>
      <c r="E16" s="13">
        <f>SQRT((Results!L15-Results!$B15)^2+(Results!N15-Results!$D15)^2)</f>
        <v>2.8279980505438208E-2</v>
      </c>
      <c r="G16" s="9">
        <f t="shared" si="1"/>
        <v>1.9999999999999998</v>
      </c>
      <c r="H16" s="13">
        <f>SQRT((Results!Q15-Results!$B15)^2+(Results!S15-Results!$D15)^2)</f>
        <v>2.982713879560888E-2</v>
      </c>
      <c r="J16" s="9">
        <f t="shared" si="2"/>
        <v>1.9999999999999998</v>
      </c>
      <c r="K16" s="13">
        <f>SQRT((Results!V15-Results!$B15)^2+(Results!X15-Results!$D15)^2)</f>
        <v>3.1479119992080848E-2</v>
      </c>
    </row>
    <row r="17" spans="1:11" x14ac:dyDescent="0.2">
      <c r="A17" s="9">
        <f>Results!F16</f>
        <v>2.1999999999999997</v>
      </c>
      <c r="B17" s="13">
        <f>SQRT((Results!G16-Results!$B16)^2+(Results!I16-Results!$D16)^2)</f>
        <v>3.2825899029040276E-2</v>
      </c>
      <c r="D17" s="9">
        <f t="shared" si="0"/>
        <v>2.1999999999999997</v>
      </c>
      <c r="E17" s="13">
        <f>SQRT((Results!L16-Results!$B16)^2+(Results!N16-Results!$D16)^2)</f>
        <v>3.3820154744543383E-2</v>
      </c>
      <c r="G17" s="9">
        <f t="shared" si="1"/>
        <v>2.1999999999999997</v>
      </c>
      <c r="H17" s="13">
        <f>SQRT((Results!Q16-Results!$B16)^2+(Results!S16-Results!$D16)^2)</f>
        <v>3.5542999999029552E-2</v>
      </c>
      <c r="J17" s="9">
        <f t="shared" si="2"/>
        <v>2.1999999999999997</v>
      </c>
      <c r="K17" s="13">
        <f>SQRT((Results!V16-Results!$B16)^2+(Results!X16-Results!$D16)^2)</f>
        <v>3.7408917301553296E-2</v>
      </c>
    </row>
    <row r="18" spans="1:11" x14ac:dyDescent="0.2">
      <c r="A18" s="9">
        <f>Results!F17</f>
        <v>2.4</v>
      </c>
      <c r="B18" s="13">
        <f>SQRT((Results!G17-Results!$B17)^2+(Results!I17-Results!$D17)^2)</f>
        <v>3.8853299538907309E-2</v>
      </c>
      <c r="D18" s="9">
        <f t="shared" si="0"/>
        <v>2.4</v>
      </c>
      <c r="E18" s="13">
        <f>SQRT((Results!L17-Results!$B17)^2+(Results!N17-Results!$D17)^2)</f>
        <v>3.9784114101721217E-2</v>
      </c>
      <c r="G18" s="9">
        <f t="shared" si="1"/>
        <v>2.4</v>
      </c>
      <c r="H18" s="13">
        <f>SQRT((Results!Q17-Results!$B17)^2+(Results!S17-Results!$D17)^2)</f>
        <v>4.1663515313968558E-2</v>
      </c>
      <c r="J18" s="9">
        <f t="shared" si="2"/>
        <v>2.4</v>
      </c>
      <c r="K18" s="13">
        <f>SQRT((Results!V17-Results!$B17)^2+(Results!X17-Results!$D17)^2)</f>
        <v>4.3733137735586125E-2</v>
      </c>
    </row>
    <row r="19" spans="1:11" x14ac:dyDescent="0.2">
      <c r="A19" s="9">
        <f>Results!F18</f>
        <v>2.6</v>
      </c>
      <c r="B19" s="13">
        <f>SQRT((Results!G18-Results!$B18)^2+(Results!I18-Results!$D18)^2)</f>
        <v>4.5353183284999078E-2</v>
      </c>
      <c r="D19" s="9">
        <f t="shared" si="0"/>
        <v>2.6</v>
      </c>
      <c r="E19" s="13">
        <f>SQRT((Results!L18-Results!$B18)^2+(Results!N18-Results!$D18)^2)</f>
        <v>4.6156528312583191E-2</v>
      </c>
      <c r="G19" s="9">
        <f t="shared" si="1"/>
        <v>2.6</v>
      </c>
      <c r="H19" s="13">
        <f>SQRT((Results!Q18-Results!$B18)^2+(Results!S18-Results!$D18)^2)</f>
        <v>4.8169168057250279E-2</v>
      </c>
      <c r="J19" s="9">
        <f t="shared" si="2"/>
        <v>2.6</v>
      </c>
      <c r="K19" s="13">
        <f>SQRT((Results!V18-Results!$B18)^2+(Results!X18-Results!$D18)^2)</f>
        <v>5.0429034407279034E-2</v>
      </c>
    </row>
    <row r="20" spans="1:11" x14ac:dyDescent="0.2">
      <c r="A20" s="9">
        <f>Results!F19</f>
        <v>2.8000000000000003</v>
      </c>
      <c r="B20" s="13">
        <f>SQRT((Results!G19-Results!$B19)^2+(Results!I19-Results!$D19)^2)</f>
        <v>5.2317977159092088E-2</v>
      </c>
      <c r="D20" s="9">
        <f t="shared" si="0"/>
        <v>2.8000000000000003</v>
      </c>
      <c r="E20" s="13">
        <f>SQRT((Results!L19-Results!$B19)^2+(Results!N19-Results!$D19)^2)</f>
        <v>5.2922631353443314E-2</v>
      </c>
      <c r="G20" s="9">
        <f t="shared" si="1"/>
        <v>2.8000000000000003</v>
      </c>
      <c r="H20" s="13">
        <f>SQRT((Results!Q19-Results!$B19)^2+(Results!S19-Results!$D19)^2)</f>
        <v>5.5041390550073302E-2</v>
      </c>
      <c r="J20" s="9">
        <f t="shared" si="2"/>
        <v>2.8000000000000003</v>
      </c>
      <c r="K20" s="13">
        <f>SQRT((Results!V19-Results!$B19)^2+(Results!X19-Results!$D19)^2)</f>
        <v>5.7475178786073812E-2</v>
      </c>
    </row>
    <row r="21" spans="1:11" x14ac:dyDescent="0.2">
      <c r="A21" s="9">
        <f>Results!F20</f>
        <v>3.0000000000000004</v>
      </c>
      <c r="B21" s="13">
        <f>SQRT((Results!G20-Results!$B20)^2+(Results!I20-Results!$D20)^2)</f>
        <v>5.9740246270144688E-2</v>
      </c>
      <c r="D21" s="9">
        <f t="shared" si="0"/>
        <v>3.0000000000000004</v>
      </c>
      <c r="E21" s="13">
        <f>SQRT((Results!L20-Results!$B20)^2+(Results!N20-Results!$D20)^2)</f>
        <v>6.006820049089031E-2</v>
      </c>
      <c r="G21" s="9">
        <f t="shared" si="1"/>
        <v>3.0000000000000004</v>
      </c>
      <c r="H21" s="13">
        <f>SQRT((Results!Q20-Results!$B20)^2+(Results!S20-Results!$D20)^2)</f>
        <v>6.226251781722323E-2</v>
      </c>
      <c r="J21" s="9">
        <f t="shared" si="2"/>
        <v>3.0000000000000004</v>
      </c>
      <c r="K21" s="13">
        <f>SQRT((Results!V20-Results!$B20)^2+(Results!X20-Results!$D20)^2)</f>
        <v>6.4851384150361194E-2</v>
      </c>
    </row>
    <row r="22" spans="1:11" x14ac:dyDescent="0.2">
      <c r="A22" s="9">
        <f>Results!F21</f>
        <v>3.2000000000000006</v>
      </c>
      <c r="B22" s="13">
        <f>SQRT((Results!G21-Results!$B21)^2+(Results!I21-Results!$D21)^2)</f>
        <v>6.761269115460472E-2</v>
      </c>
      <c r="D22" s="9">
        <f t="shared" si="0"/>
        <v>3.2000000000000006</v>
      </c>
      <c r="E22" s="13">
        <f>SQRT((Results!L21-Results!$B21)^2+(Results!N21-Results!$D21)^2)</f>
        <v>6.7579536094220807E-2</v>
      </c>
      <c r="G22" s="9">
        <f t="shared" si="1"/>
        <v>3.2000000000000006</v>
      </c>
      <c r="H22" s="13">
        <f>SQRT((Results!Q21-Results!$B21)^2+(Results!S21-Results!$D21)^2)</f>
        <v>6.9815743526830107E-2</v>
      </c>
      <c r="J22" s="9">
        <f t="shared" si="2"/>
        <v>3.2000000000000006</v>
      </c>
      <c r="K22" s="13">
        <f>SQRT((Results!V21-Results!$B21)^2+(Results!X21-Results!$D21)^2)</f>
        <v>7.2538633463965607E-2</v>
      </c>
    </row>
    <row r="23" spans="1:11" x14ac:dyDescent="0.2">
      <c r="A23" s="9">
        <f>Results!F22</f>
        <v>3.4000000000000008</v>
      </c>
      <c r="B23" s="13">
        <f>SQRT((Results!G22-Results!$B22)^2+(Results!I22-Results!$D22)^2)</f>
        <v>7.5928145035561709E-2</v>
      </c>
      <c r="D23" s="9">
        <f t="shared" si="0"/>
        <v>3.4000000000000008</v>
      </c>
      <c r="E23" s="13">
        <f>SQRT((Results!L22-Results!$B22)^2+(Results!N22-Results!$D22)^2)</f>
        <v>7.5443442184936108E-2</v>
      </c>
      <c r="G23" s="9">
        <f t="shared" si="1"/>
        <v>3.4000000000000008</v>
      </c>
      <c r="H23" s="13">
        <f>SQRT((Results!Q22-Results!$B22)^2+(Results!S22-Results!$D22)^2)</f>
        <v>7.7685078064560126E-2</v>
      </c>
      <c r="J23" s="9">
        <f t="shared" si="2"/>
        <v>3.4000000000000008</v>
      </c>
      <c r="K23" s="13">
        <f>SQRT((Results!V22-Results!$B22)^2+(Results!X22-Results!$D22)^2)</f>
        <v>8.0519011423864223E-2</v>
      </c>
    </row>
    <row r="24" spans="1:11" x14ac:dyDescent="0.2">
      <c r="A24" s="9">
        <f>Results!F23</f>
        <v>3.600000000000001</v>
      </c>
      <c r="B24" s="13">
        <f>SQRT((Results!G23-Results!$B23)^2+(Results!I23-Results!$D23)^2)</f>
        <v>8.4679571131523981E-2</v>
      </c>
      <c r="D24" s="9">
        <f t="shared" si="0"/>
        <v>3.600000000000001</v>
      </c>
      <c r="E24" s="13">
        <f>SQRT((Results!L23-Results!$B23)^2+(Results!N23-Results!$D23)^2)</f>
        <v>8.3647207697832959E-2</v>
      </c>
      <c r="G24" s="9">
        <f t="shared" si="1"/>
        <v>3.600000000000001</v>
      </c>
      <c r="H24" s="13">
        <f>SQRT((Results!Q23-Results!$B23)^2+(Results!S23-Results!$D23)^2)</f>
        <v>8.5855308640657504E-2</v>
      </c>
      <c r="J24" s="9">
        <f t="shared" si="2"/>
        <v>3.600000000000001</v>
      </c>
      <c r="K24" s="13">
        <f>SQRT((Results!V23-Results!$B23)^2+(Results!X23-Results!$D23)^2)</f>
        <v>8.8775640440201448E-2</v>
      </c>
    </row>
    <row r="25" spans="1:11" x14ac:dyDescent="0.2">
      <c r="A25" s="9">
        <f>Results!F24</f>
        <v>3.8000000000000012</v>
      </c>
      <c r="B25" s="13">
        <f>SQRT((Results!G24-Results!$B24)^2+(Results!I24-Results!$D24)^2)</f>
        <v>9.3860060014854793E-2</v>
      </c>
      <c r="D25" s="9">
        <f t="shared" si="0"/>
        <v>3.8000000000000012</v>
      </c>
      <c r="E25" s="13">
        <f>SQRT((Results!L24-Results!$B24)^2+(Results!N24-Results!$D24)^2)</f>
        <v>9.2178588428756994E-2</v>
      </c>
      <c r="G25" s="9">
        <f t="shared" si="1"/>
        <v>3.8000000000000012</v>
      </c>
      <c r="H25" s="13">
        <f>SQRT((Results!Q24-Results!$B24)^2+(Results!S24-Results!$D24)^2)</f>
        <v>9.4311961332692248E-2</v>
      </c>
      <c r="J25" s="9">
        <f t="shared" si="2"/>
        <v>3.8000000000000012</v>
      </c>
      <c r="K25" s="13">
        <f>SQRT((Results!V24-Results!$B24)^2+(Results!X24-Results!$D24)^2)</f>
        <v>9.7292620322747159E-2</v>
      </c>
    </row>
    <row r="26" spans="1:11" x14ac:dyDescent="0.2">
      <c r="A26" s="9">
        <f>Results!F25</f>
        <v>4.0000000000000009</v>
      </c>
      <c r="B26" s="13">
        <f>SQRT((Results!G25-Results!$B25)^2+(Results!I25-Results!$D25)^2)</f>
        <v>0.10346282701952385</v>
      </c>
      <c r="D26" s="9">
        <f t="shared" si="0"/>
        <v>4.0000000000000009</v>
      </c>
      <c r="E26" s="13">
        <f>SQRT((Results!L25-Results!$B25)^2+(Results!N25-Results!$D25)^2)</f>
        <v>0.10102578964472572</v>
      </c>
      <c r="G26" s="9">
        <f t="shared" si="1"/>
        <v>4.0000000000000009</v>
      </c>
      <c r="H26" s="13">
        <f>SQRT((Results!Q25-Results!$B25)^2+(Results!S25-Results!$D25)^2)</f>
        <v>0.10304126497117641</v>
      </c>
      <c r="J26" s="9">
        <f t="shared" si="2"/>
        <v>4.0000000000000009</v>
      </c>
      <c r="K26" s="13">
        <f>SQRT((Results!V25-Results!$B25)^2+(Results!X25-Results!$D25)^2)</f>
        <v>0.10605497146042216</v>
      </c>
    </row>
    <row r="27" spans="1:11" x14ac:dyDescent="0.2">
      <c r="A27" s="9">
        <f>Results!F26</f>
        <v>4.2000000000000011</v>
      </c>
      <c r="B27" s="13">
        <f>SQRT((Results!G26-Results!$B26)^2+(Results!I26-Results!$D26)^2)</f>
        <v>0.11348120969763027</v>
      </c>
      <c r="D27" s="9">
        <f t="shared" si="0"/>
        <v>4.2000000000000011</v>
      </c>
      <c r="E27" s="13">
        <f>SQRT((Results!L26-Results!$B26)^2+(Results!N26-Results!$D26)^2)</f>
        <v>0.11017744933281304</v>
      </c>
      <c r="G27" s="9">
        <f t="shared" si="1"/>
        <v>4.2000000000000011</v>
      </c>
      <c r="H27" s="13">
        <f>SQRT((Results!Q26-Results!$B26)^2+(Results!S26-Results!$D26)^2)</f>
        <v>0.11203011677939394</v>
      </c>
      <c r="J27" s="9">
        <f t="shared" si="2"/>
        <v>4.2000000000000011</v>
      </c>
      <c r="K27" s="13">
        <f>SQRT((Results!V26-Results!$B26)^2+(Results!X26-Results!$D26)^2)</f>
        <v>0.11504858129238908</v>
      </c>
    </row>
    <row r="28" spans="1:11" x14ac:dyDescent="0.2">
      <c r="A28" s="9">
        <f>Results!F27</f>
        <v>4.4000000000000012</v>
      </c>
      <c r="B28" s="13">
        <f>SQRT((Results!G27-Results!$B27)^2+(Results!I27-Results!$D27)^2)</f>
        <v>0.12390866532404783</v>
      </c>
      <c r="D28" s="9">
        <f t="shared" si="0"/>
        <v>4.4000000000000012</v>
      </c>
      <c r="E28" s="13">
        <f>SQRT((Results!L27-Results!$B27)^2+(Results!N27-Results!$D27)^2)</f>
        <v>0.1196226220648912</v>
      </c>
      <c r="G28" s="9">
        <f t="shared" si="1"/>
        <v>4.4000000000000012</v>
      </c>
      <c r="H28" s="13">
        <f>SQRT((Results!Q27-Results!$B27)^2+(Results!S27-Results!$D27)^2)</f>
        <v>0.12126604968281576</v>
      </c>
      <c r="J28" s="9">
        <f t="shared" si="2"/>
        <v>4.4000000000000012</v>
      </c>
      <c r="K28" s="13">
        <f>SQRT((Results!V27-Results!$B27)^2+(Results!X27-Results!$D27)^2)</f>
        <v>0.12426015388048696</v>
      </c>
    </row>
    <row r="29" spans="1:11" x14ac:dyDescent="0.2">
      <c r="A29" s="9">
        <f>Results!F28</f>
        <v>4.6000000000000014</v>
      </c>
      <c r="B29" s="13">
        <f>SQRT((Results!G28-Results!$B28)^2+(Results!I28-Results!$D28)^2)</f>
        <v>0.13473876844848717</v>
      </c>
      <c r="D29" s="9">
        <f t="shared" si="0"/>
        <v>4.6000000000000014</v>
      </c>
      <c r="E29" s="13">
        <f>SQRT((Results!L28-Results!$B28)^2+(Results!N28-Results!$D28)^2)</f>
        <v>0.12935076345603622</v>
      </c>
      <c r="G29" s="9">
        <f t="shared" si="1"/>
        <v>4.6000000000000014</v>
      </c>
      <c r="H29" s="13">
        <f>SQRT((Results!Q28-Results!$B28)^2+(Results!S28-Results!$D28)^2)</f>
        <v>0.13073720120736168</v>
      </c>
      <c r="J29" s="9">
        <f t="shared" si="2"/>
        <v>4.6000000000000014</v>
      </c>
      <c r="K29" s="13">
        <f>SQRT((Results!V28-Results!$B28)^2+(Results!X28-Results!$D28)^2)</f>
        <v>0.13367716240349681</v>
      </c>
    </row>
    <row r="30" spans="1:11" x14ac:dyDescent="0.2">
      <c r="A30" s="9">
        <f>Results!F29</f>
        <v>4.8000000000000016</v>
      </c>
      <c r="B30" s="13">
        <f>SQRT((Results!G29-Results!$B29)^2+(Results!I29-Results!$D29)^2)</f>
        <v>0.14596520849424724</v>
      </c>
      <c r="D30" s="9">
        <f t="shared" si="0"/>
        <v>4.8000000000000016</v>
      </c>
      <c r="E30" s="13">
        <f>SQRT((Results!L29-Results!$B29)^2+(Results!N29-Results!$D29)^2)</f>
        <v>0.13935171519510975</v>
      </c>
      <c r="G30" s="9">
        <f t="shared" si="1"/>
        <v>4.8000000000000016</v>
      </c>
      <c r="H30" s="13">
        <f>SQRT((Results!Q29-Results!$B29)^2+(Results!S29-Results!$D29)^2)</f>
        <v>0.14043228388950249</v>
      </c>
      <c r="J30" s="9">
        <f t="shared" si="2"/>
        <v>4.8000000000000016</v>
      </c>
      <c r="K30" s="13">
        <f>SQRT((Results!V29-Results!$B29)^2+(Results!X29-Results!$D29)^2)</f>
        <v>0.14328780440387529</v>
      </c>
    </row>
    <row r="31" spans="1:11" x14ac:dyDescent="0.2">
      <c r="A31" s="9">
        <f>Results!F30</f>
        <v>5.0000000000000018</v>
      </c>
      <c r="B31" s="13">
        <f>SQRT((Results!G30-Results!$B30)^2+(Results!I30-Results!$D30)^2)</f>
        <v>0.15758178740291534</v>
      </c>
      <c r="D31" s="9">
        <f t="shared" si="0"/>
        <v>5.0000000000000018</v>
      </c>
      <c r="E31" s="13">
        <f>SQRT((Results!L30-Results!$B30)^2+(Results!N30-Results!$D30)^2)</f>
        <v>0.14961569062673116</v>
      </c>
      <c r="G31" s="9">
        <f t="shared" si="1"/>
        <v>5.0000000000000018</v>
      </c>
      <c r="H31" s="13">
        <f>SQRT((Results!Q30-Results!$B30)^2+(Results!S30-Results!$D30)^2)</f>
        <v>0.15034055712478719</v>
      </c>
      <c r="J31" s="9">
        <f t="shared" si="2"/>
        <v>5.0000000000000018</v>
      </c>
      <c r="K31" s="13">
        <f>SQRT((Results!V30-Results!$B30)^2+(Results!X30-Results!$D30)^2)</f>
        <v>0.15308095962720808</v>
      </c>
    </row>
    <row r="32" spans="1:11" x14ac:dyDescent="0.2">
      <c r="A32" s="9">
        <f>Results!F31</f>
        <v>5.200000000000002</v>
      </c>
      <c r="B32" s="13">
        <f>SQRT((Results!G31-Results!$B31)^2+(Results!I31-Results!$D31)^2)</f>
        <v>0.1695824173242782</v>
      </c>
      <c r="D32" s="9">
        <f t="shared" si="0"/>
        <v>5.200000000000002</v>
      </c>
      <c r="E32" s="13">
        <f>SQRT((Results!L31-Results!$B31)^2+(Results!N31-Results!$D31)^2)</f>
        <v>0.16013326086453961</v>
      </c>
      <c r="G32" s="9">
        <f t="shared" si="1"/>
        <v>5.200000000000002</v>
      </c>
      <c r="H32" s="13">
        <f>SQRT((Results!Q31-Results!$B31)^2+(Results!S31-Results!$D31)^2)</f>
        <v>0.16045180038481754</v>
      </c>
      <c r="J32" s="9">
        <f t="shared" si="2"/>
        <v>5.200000000000002</v>
      </c>
      <c r="K32" s="13">
        <f>SQRT((Results!V31-Results!$B31)^2+(Results!X31-Results!$D31)^2)</f>
        <v>0.16304615030373154</v>
      </c>
    </row>
    <row r="33" spans="1:11" x14ac:dyDescent="0.2">
      <c r="A33" s="9">
        <f>Results!F32</f>
        <v>5.4000000000000021</v>
      </c>
      <c r="B33" s="13">
        <f>SQRT((Results!G32-Results!$B32)^2+(Results!I32-Results!$D32)^2)</f>
        <v>0.18196111835071554</v>
      </c>
      <c r="D33" s="9">
        <f t="shared" si="0"/>
        <v>5.4000000000000021</v>
      </c>
      <c r="E33" s="13">
        <f>SQRT((Results!L32-Results!$B32)^2+(Results!N32-Results!$D32)^2)</f>
        <v>0.17089534141632418</v>
      </c>
      <c r="G33" s="9">
        <f t="shared" si="1"/>
        <v>5.4000000000000021</v>
      </c>
      <c r="H33" s="13">
        <f>SQRT((Results!Q32-Results!$B32)^2+(Results!S32-Results!$D32)^2)</f>
        <v>0.17075628773599269</v>
      </c>
      <c r="J33" s="9">
        <f t="shared" si="2"/>
        <v>5.4000000000000021</v>
      </c>
      <c r="K33" s="13">
        <f>SQRT((Results!V32-Results!$B32)^2+(Results!X32-Results!$D32)^2)</f>
        <v>0.17317350372987528</v>
      </c>
    </row>
    <row r="34" spans="1:11" x14ac:dyDescent="0.2">
      <c r="A34" s="9">
        <f>Results!F33</f>
        <v>5.6000000000000023</v>
      </c>
      <c r="B34" s="13">
        <f>SQRT((Results!G33-Results!$B33)^2+(Results!I33-Results!$D33)^2)</f>
        <v>0.19471201629535501</v>
      </c>
      <c r="D34" s="9">
        <f t="shared" si="0"/>
        <v>5.6000000000000023</v>
      </c>
      <c r="E34" s="13">
        <f>SQRT((Results!L33-Results!$B33)^2+(Results!N33-Results!$D33)^2)</f>
        <v>0.18189317930225973</v>
      </c>
      <c r="G34" s="9">
        <f t="shared" si="1"/>
        <v>5.6000000000000023</v>
      </c>
      <c r="H34" s="13">
        <f>SQRT((Results!Q33-Results!$B33)^2+(Results!S33-Results!$D33)^2)</f>
        <v>0.18124476359649855</v>
      </c>
      <c r="J34" s="9">
        <f t="shared" si="2"/>
        <v>5.6000000000000023</v>
      </c>
      <c r="K34" s="13">
        <f>SQRT((Results!V33-Results!$B33)^2+(Results!X33-Results!$D33)^2)</f>
        <v>0.18345371701590896</v>
      </c>
    </row>
    <row r="35" spans="1:11" x14ac:dyDescent="0.2">
      <c r="A35" s="9">
        <f>Results!F34</f>
        <v>5.8000000000000025</v>
      </c>
      <c r="B35" s="13">
        <f>SQRT((Results!G34-Results!$B34)^2+(Results!I34-Results!$D34)^2)</f>
        <v>0.20782934051328558</v>
      </c>
      <c r="D35" s="9">
        <f t="shared" si="0"/>
        <v>5.8000000000000025</v>
      </c>
      <c r="E35" s="13">
        <f>SQRT((Results!L34-Results!$B34)^2+(Results!N34-Results!$D34)^2)</f>
        <v>0.19311834064813213</v>
      </c>
      <c r="G35" s="9">
        <f t="shared" si="1"/>
        <v>5.8000000000000025</v>
      </c>
      <c r="H35" s="13">
        <f>SQRT((Results!Q34-Results!$B34)^2+(Results!S34-Results!$D34)^2)</f>
        <v>0.19190841967103903</v>
      </c>
      <c r="J35" s="9">
        <f t="shared" si="2"/>
        <v>5.8000000000000025</v>
      </c>
      <c r="K35" s="13">
        <f>SQRT((Results!V34-Results!$B34)^2+(Results!X34-Results!$D34)^2)</f>
        <v>0.19387802387345535</v>
      </c>
    </row>
    <row r="36" spans="1:11" x14ac:dyDescent="0.2">
      <c r="A36" s="9">
        <f>Results!F35</f>
        <v>6.0000000000000027</v>
      </c>
      <c r="B36" s="13">
        <f>SQRT((Results!G35-Results!$B35)^2+(Results!I35-Results!$D35)^2)</f>
        <v>0.22130742176514137</v>
      </c>
      <c r="D36" s="9">
        <f t="shared" si="0"/>
        <v>6.0000000000000027</v>
      </c>
      <c r="E36" s="13">
        <f>SQRT((Results!L35-Results!$B35)^2+(Results!N35-Results!$D35)^2)</f>
        <v>0.20456269873606703</v>
      </c>
      <c r="G36" s="9">
        <f t="shared" si="1"/>
        <v>6.0000000000000027</v>
      </c>
      <c r="H36" s="13">
        <f>SQRT((Results!Q35-Results!$B35)^2+(Results!S35-Results!$D35)^2)</f>
        <v>0.20273887300568497</v>
      </c>
      <c r="J36" s="9">
        <f t="shared" si="2"/>
        <v>6.0000000000000027</v>
      </c>
      <c r="K36" s="13">
        <f>SQRT((Results!V35-Results!$B35)^2+(Results!X35-Results!$D35)^2)</f>
        <v>0.20443816332388212</v>
      </c>
    </row>
    <row r="37" spans="1:11" x14ac:dyDescent="0.2">
      <c r="A37" s="9">
        <f>Results!F36</f>
        <v>6.2000000000000028</v>
      </c>
      <c r="B37" s="13">
        <f>SQRT((Results!G36-Results!$B36)^2+(Results!I36-Results!$D36)^2)</f>
        <v>0.23514069014792885</v>
      </c>
      <c r="D37" s="9">
        <f t="shared" si="0"/>
        <v>6.2000000000000028</v>
      </c>
      <c r="E37" s="13">
        <f>SQRT((Results!L36-Results!$B36)^2+(Results!N36-Results!$D36)^2)</f>
        <v>0.21621842251796392</v>
      </c>
      <c r="G37" s="9">
        <f t="shared" si="1"/>
        <v>6.2000000000000028</v>
      </c>
      <c r="H37" s="13">
        <f>SQRT((Results!Q36-Results!$B36)^2+(Results!S36-Results!$D36)^2)</f>
        <v>0.21372814512923924</v>
      </c>
      <c r="J37" s="9">
        <f t="shared" si="2"/>
        <v>6.2000000000000028</v>
      </c>
      <c r="K37" s="13">
        <f>SQRT((Results!V36-Results!$B36)^2+(Results!X36-Results!$D36)^2)</f>
        <v>0.2151263502367633</v>
      </c>
    </row>
    <row r="38" spans="1:11" x14ac:dyDescent="0.2">
      <c r="A38" s="9">
        <f>Results!F37</f>
        <v>6.400000000000003</v>
      </c>
      <c r="B38" s="13">
        <f>SQRT((Results!G37-Results!$B37)^2+(Results!I37-Results!$D37)^2)</f>
        <v>0.24932367354644078</v>
      </c>
      <c r="D38" s="9">
        <f t="shared" si="0"/>
        <v>6.400000000000003</v>
      </c>
      <c r="E38" s="13">
        <f>SQRT((Results!L37-Results!$B37)^2+(Results!N37-Results!$D37)^2)</f>
        <v>0.22807796596299906</v>
      </c>
      <c r="G38" s="9">
        <f t="shared" si="1"/>
        <v>6.400000000000003</v>
      </c>
      <c r="H38" s="13">
        <f>SQRT((Results!Q37-Results!$B37)^2+(Results!S37-Results!$D37)^2)</f>
        <v>0.22486864260055325</v>
      </c>
      <c r="J38" s="9">
        <f t="shared" si="2"/>
        <v>6.400000000000003</v>
      </c>
      <c r="K38" s="13">
        <f>SQRT((Results!V37-Results!$B37)^2+(Results!X37-Results!$D37)^2)</f>
        <v>0.22593524796015649</v>
      </c>
    </row>
    <row r="39" spans="1:11" x14ac:dyDescent="0.2">
      <c r="A39" s="9">
        <f>Results!F38</f>
        <v>6.6000000000000032</v>
      </c>
      <c r="B39" s="13">
        <f>SQRT((Results!G38-Results!$B38)^2+(Results!I38-Results!$D38)^2)</f>
        <v>0.26385099768675607</v>
      </c>
      <c r="D39" s="9">
        <f t="shared" si="0"/>
        <v>6.6000000000000032</v>
      </c>
      <c r="E39" s="13">
        <f>SQRT((Results!L38-Results!$B38)^2+(Results!N38-Results!$D38)^2)</f>
        <v>0.24013405913051086</v>
      </c>
      <c r="G39" s="9">
        <f t="shared" si="1"/>
        <v>6.6000000000000032</v>
      </c>
      <c r="H39" s="13">
        <f>SQRT((Results!Q38-Results!$B38)^2+(Results!S38-Results!$D38)^2)</f>
        <v>0.23615313976075555</v>
      </c>
      <c r="J39" s="9">
        <f t="shared" si="2"/>
        <v>6.6000000000000032</v>
      </c>
      <c r="K39" s="13">
        <f>SQRT((Results!V38-Results!$B38)^2+(Results!X38-Results!$D38)^2)</f>
        <v>0.23685794376246586</v>
      </c>
    </row>
    <row r="40" spans="1:11" x14ac:dyDescent="0.2">
      <c r="A40" s="9">
        <f>Results!F39</f>
        <v>6.8000000000000034</v>
      </c>
      <c r="B40" s="13">
        <f>SQRT((Results!G39-Results!$B39)^2+(Results!I39-Results!$D39)^2)</f>
        <v>0.2787173852373504</v>
      </c>
      <c r="D40" s="9">
        <f t="shared" si="0"/>
        <v>6.8000000000000034</v>
      </c>
      <c r="E40" s="13">
        <f>SQRT((Results!L39-Results!$B39)^2+(Results!N39-Results!$D39)^2)</f>
        <v>0.25237969872150345</v>
      </c>
      <c r="G40" s="9">
        <f t="shared" si="1"/>
        <v>6.8000000000000034</v>
      </c>
      <c r="H40" s="13">
        <f>SQRT((Results!Q39-Results!$B39)^2+(Results!S39-Results!$D39)^2)</f>
        <v>0.24757476149083768</v>
      </c>
      <c r="J40" s="9">
        <f t="shared" si="2"/>
        <v>6.8000000000000034</v>
      </c>
      <c r="K40" s="13">
        <f>SQRT((Results!V39-Results!$B39)^2+(Results!X39-Results!$D39)^2)</f>
        <v>0.24788792485877478</v>
      </c>
    </row>
    <row r="41" spans="1:11" x14ac:dyDescent="0.2">
      <c r="A41" s="9">
        <f>Results!F40</f>
        <v>7.0000000000000036</v>
      </c>
      <c r="B41" s="13">
        <f>SQRT((Results!G40-Results!$B40)^2+(Results!I40-Results!$D40)^2)</f>
        <v>0.29391765406089032</v>
      </c>
      <c r="D41" s="9">
        <f t="shared" si="0"/>
        <v>7.0000000000000036</v>
      </c>
      <c r="E41" s="13">
        <f>SQRT((Results!L40-Results!$B40)^2+(Results!N40-Results!$D40)^2)</f>
        <v>0.26480813829015698</v>
      </c>
      <c r="G41" s="9">
        <f t="shared" si="1"/>
        <v>7.0000000000000036</v>
      </c>
      <c r="H41" s="13">
        <f>SQRT((Results!Q40-Results!$B40)^2+(Results!S40-Results!$D40)^2)</f>
        <v>0.25912696619285552</v>
      </c>
      <c r="J41" s="9">
        <f t="shared" si="2"/>
        <v>7.0000000000000036</v>
      </c>
      <c r="K41" s="13">
        <f>SQRT((Results!V40-Results!$B40)^2+(Results!X40-Results!$D40)^2)</f>
        <v>0.25901905525867558</v>
      </c>
    </row>
    <row r="42" spans="1:11" x14ac:dyDescent="0.2">
      <c r="A42" s="9">
        <f>Results!F41</f>
        <v>7.2000000000000037</v>
      </c>
      <c r="B42" s="13">
        <f>SQRT((Results!G41-Results!$B41)^2+(Results!I41-Results!$D41)^2)</f>
        <v>0.30944671546981217</v>
      </c>
      <c r="D42" s="9">
        <f t="shared" si="0"/>
        <v>7.2000000000000037</v>
      </c>
      <c r="E42" s="13">
        <f>SQRT((Results!L41-Results!$B41)^2+(Results!N41-Results!$D41)^2)</f>
        <v>0.27741287879553594</v>
      </c>
      <c r="G42" s="9">
        <f t="shared" si="1"/>
        <v>7.2000000000000037</v>
      </c>
      <c r="H42" s="13">
        <f>SQRT((Results!Q41-Results!$B41)^2+(Results!S41-Results!$D41)^2)</f>
        <v>0.27080352957865766</v>
      </c>
      <c r="J42" s="9">
        <f t="shared" si="2"/>
        <v>7.2000000000000037</v>
      </c>
      <c r="K42" s="13">
        <f>SQRT((Results!V41-Results!$B41)^2+(Results!X41-Results!$D41)^2)</f>
        <v>0.27024555393443922</v>
      </c>
    </row>
    <row r="43" spans="1:11" x14ac:dyDescent="0.2">
      <c r="A43" s="9">
        <f>Results!F42</f>
        <v>7.4000000000000039</v>
      </c>
      <c r="B43" s="13">
        <f>SQRT((Results!G42-Results!$B42)^2+(Results!I42-Results!$D42)^2)</f>
        <v>0.32529957251239378</v>
      </c>
      <c r="D43" s="9">
        <f t="shared" si="0"/>
        <v>7.4000000000000039</v>
      </c>
      <c r="E43" s="13">
        <f>SQRT((Results!L42-Results!$B42)^2+(Results!N42-Results!$D42)^2)</f>
        <v>0.29018765950105552</v>
      </c>
      <c r="G43" s="9">
        <f t="shared" si="1"/>
        <v>7.4000000000000039</v>
      </c>
      <c r="H43" s="13">
        <f>SQRT((Results!Q42-Results!$B42)^2+(Results!S42-Results!$D42)^2)</f>
        <v>0.28259852924708878</v>
      </c>
      <c r="J43" s="9">
        <f t="shared" si="2"/>
        <v>7.4000000000000039</v>
      </c>
      <c r="K43" s="13">
        <f>SQRT((Results!V42-Results!$B42)^2+(Results!X42-Results!$D42)^2)</f>
        <v>0.28156197425452101</v>
      </c>
    </row>
    <row r="44" spans="1:11" x14ac:dyDescent="0.2">
      <c r="A44" s="9">
        <f>Results!F43</f>
        <v>7.6000000000000041</v>
      </c>
      <c r="B44" s="13">
        <f>SQRT((Results!G43-Results!$B43)^2+(Results!I43-Results!$D43)^2)</f>
        <v>0.34147131828884919</v>
      </c>
      <c r="D44" s="9">
        <f t="shared" si="0"/>
        <v>7.6000000000000041</v>
      </c>
      <c r="E44" s="13">
        <f>SQRT((Results!L43-Results!$B43)^2+(Results!N43-Results!$D43)^2)</f>
        <v>0.30312644920896153</v>
      </c>
      <c r="G44" s="9">
        <f t="shared" si="1"/>
        <v>7.6000000000000041</v>
      </c>
      <c r="H44" s="13">
        <f>SQRT((Results!Q43-Results!$B43)^2+(Results!S43-Results!$D43)^2)</f>
        <v>0.29450633001128845</v>
      </c>
      <c r="J44" s="9">
        <f t="shared" si="2"/>
        <v>7.6000000000000041</v>
      </c>
      <c r="K44" s="13">
        <f>SQRT((Results!V43-Results!$B43)^2+(Results!X43-Results!$D43)^2)</f>
        <v>0.29296318460896381</v>
      </c>
    </row>
    <row r="45" spans="1:11" x14ac:dyDescent="0.2">
      <c r="A45" s="9">
        <f>Results!F44</f>
        <v>7.8000000000000043</v>
      </c>
      <c r="B45" s="13">
        <f>SQRT((Results!G44-Results!$B44)^2+(Results!I44-Results!$D44)^2)</f>
        <v>0.35795713429698844</v>
      </c>
      <c r="D45" s="9">
        <f t="shared" si="0"/>
        <v>7.8000000000000043</v>
      </c>
      <c r="E45" s="13">
        <f>SQRT((Results!L44-Results!$B44)^2+(Results!N44-Results!$D44)^2)</f>
        <v>0.31622343781753698</v>
      </c>
      <c r="G45" s="9">
        <f t="shared" si="1"/>
        <v>7.8000000000000043</v>
      </c>
      <c r="H45" s="13">
        <f>SQRT((Results!Q44-Results!$B44)^2+(Results!S44-Results!$D44)^2)</f>
        <v>0.30652156993956875</v>
      </c>
      <c r="J45" s="9">
        <f t="shared" si="2"/>
        <v>7.8000000000000043</v>
      </c>
      <c r="K45" s="13">
        <f>SQRT((Results!V44-Results!$B44)^2+(Results!X44-Results!$D44)^2)</f>
        <v>0.30444435015751581</v>
      </c>
    </row>
    <row r="46" spans="1:11" x14ac:dyDescent="0.2">
      <c r="A46" s="9">
        <f>Results!F45</f>
        <v>8.0000000000000036</v>
      </c>
      <c r="B46" s="13">
        <f>SQRT((Results!G45-Results!$B45)^2+(Results!I45-Results!$D45)^2)</f>
        <v>0.37475228880697903</v>
      </c>
      <c r="D46" s="9">
        <f t="shared" si="0"/>
        <v>8.0000000000000036</v>
      </c>
      <c r="E46" s="13">
        <f>SQRT((Results!L45-Results!$B45)^2+(Results!N45-Results!$D45)^2)</f>
        <v>0.32947302818918417</v>
      </c>
      <c r="G46" s="9">
        <f t="shared" si="1"/>
        <v>8.0000000000000036</v>
      </c>
      <c r="H46" s="13">
        <f>SQRT((Results!Q45-Results!$B45)^2+(Results!S45-Results!$D45)^2)</f>
        <v>0.31863914707511931</v>
      </c>
      <c r="J46" s="9">
        <f t="shared" si="2"/>
        <v>8.0000000000000036</v>
      </c>
      <c r="K46" s="13">
        <f>SQRT((Results!V45-Results!$B45)^2+(Results!X45-Results!$D45)^2)</f>
        <v>0.31600091563529231</v>
      </c>
    </row>
    <row r="47" spans="1:11" x14ac:dyDescent="0.2">
      <c r="A47" s="9">
        <f>Results!F46</f>
        <v>8.2000000000000028</v>
      </c>
      <c r="B47" s="13">
        <f>SQRT((Results!G46-Results!$B46)^2+(Results!I46-Results!$D46)^2)</f>
        <v>0.39185213526474916</v>
      </c>
      <c r="D47" s="9">
        <f t="shared" si="0"/>
        <v>8.2000000000000028</v>
      </c>
      <c r="E47" s="13">
        <f>SQRT((Results!L46-Results!$B46)^2+(Results!N46-Results!$D46)^2)</f>
        <v>0.34286982831795815</v>
      </c>
      <c r="G47" s="9">
        <f t="shared" si="1"/>
        <v>8.2000000000000028</v>
      </c>
      <c r="H47" s="13">
        <f>SQRT((Results!Q46-Results!$B46)^2+(Results!S46-Results!$D46)^2)</f>
        <v>0.33085420680147654</v>
      </c>
      <c r="J47" s="9">
        <f t="shared" si="2"/>
        <v>8.2000000000000028</v>
      </c>
      <c r="K47" s="13">
        <f>SQRT((Results!V46-Results!$B46)^2+(Results!X46-Results!$D46)^2)</f>
        <v>0.32762858915458876</v>
      </c>
    </row>
    <row r="48" spans="1:11" x14ac:dyDescent="0.2">
      <c r="A48" s="9">
        <f>Results!F47</f>
        <v>8.4000000000000021</v>
      </c>
      <c r="B48" s="13">
        <f>SQRT((Results!G47-Results!$B47)^2+(Results!I47-Results!$D47)^2)</f>
        <v>0.40925211072357948</v>
      </c>
      <c r="D48" s="9">
        <f t="shared" si="0"/>
        <v>8.4000000000000021</v>
      </c>
      <c r="E48" s="13">
        <f>SQRT((Results!L47-Results!$B47)^2+(Results!N47-Results!$D47)^2)</f>
        <v>0.3564086437855421</v>
      </c>
      <c r="G48" s="9">
        <f t="shared" si="1"/>
        <v>8.4000000000000021</v>
      </c>
      <c r="H48" s="13">
        <f>SQRT((Results!Q47-Results!$B47)^2+(Results!S47-Results!$D47)^2)</f>
        <v>0.34316212982229932</v>
      </c>
      <c r="J48" s="9">
        <f t="shared" si="2"/>
        <v>8.4000000000000021</v>
      </c>
      <c r="K48" s="13">
        <f>SQRT((Results!V47-Results!$B47)^2+(Results!X47-Results!$D47)^2)</f>
        <v>0.33932332694501433</v>
      </c>
    </row>
    <row r="49" spans="1:11" x14ac:dyDescent="0.2">
      <c r="A49" s="9">
        <f>Results!F48</f>
        <v>8.6000000000000014</v>
      </c>
      <c r="B49" s="13">
        <f>SQRT((Results!G48-Results!$B48)^2+(Results!I48-Results!$D48)^2)</f>
        <v>0.4269477343034272</v>
      </c>
      <c r="D49" s="9">
        <f t="shared" si="0"/>
        <v>8.6000000000000014</v>
      </c>
      <c r="E49" s="13">
        <f>SQRT((Results!L48-Results!$B48)^2+(Results!N48-Results!$D48)^2)</f>
        <v>0.37008447049504872</v>
      </c>
      <c r="G49" s="9">
        <f t="shared" si="1"/>
        <v>8.6000000000000014</v>
      </c>
      <c r="H49" s="13">
        <f>SQRT((Results!Q48-Results!$B48)^2+(Results!S48-Results!$D48)^2)</f>
        <v>0.35555852072552124</v>
      </c>
      <c r="J49" s="9">
        <f t="shared" si="2"/>
        <v>8.6000000000000014</v>
      </c>
      <c r="K49" s="13">
        <f>SQRT((Results!V48-Results!$B48)^2+(Results!X48-Results!$D48)^2)</f>
        <v>0.35108131897747036</v>
      </c>
    </row>
    <row r="50" spans="1:11" x14ac:dyDescent="0.2">
      <c r="A50" s="9">
        <f>Results!F49</f>
        <v>8.8000000000000007</v>
      </c>
      <c r="B50" s="13">
        <f>SQRT((Results!G49-Results!$B49)^2+(Results!I49-Results!$D49)^2)</f>
        <v>0.44493460567753274</v>
      </c>
      <c r="D50" s="9">
        <f t="shared" si="0"/>
        <v>8.8000000000000007</v>
      </c>
      <c r="E50" s="13">
        <f>SQRT((Results!L49-Results!$B49)^2+(Results!N49-Results!$D49)^2)</f>
        <v>0.38389248767241846</v>
      </c>
      <c r="G50" s="9">
        <f t="shared" si="1"/>
        <v>8.8000000000000007</v>
      </c>
      <c r="H50" s="13">
        <f>SQRT((Results!Q49-Results!$B49)^2+(Results!S49-Results!$D49)^2)</f>
        <v>0.36803919710340161</v>
      </c>
      <c r="J50" s="9">
        <f t="shared" si="2"/>
        <v>8.8000000000000007</v>
      </c>
      <c r="K50" s="13">
        <f>SQRT((Results!V49-Results!$B49)^2+(Results!X49-Results!$D49)^2)</f>
        <v>0.36289897542065619</v>
      </c>
    </row>
    <row r="51" spans="1:11" x14ac:dyDescent="0.2">
      <c r="A51" s="9">
        <f>Results!F50</f>
        <v>9</v>
      </c>
      <c r="B51" s="13">
        <f>SQRT((Results!G50-Results!$B50)^2+(Results!I50-Results!$D50)^2)</f>
        <v>0.46320840358586157</v>
      </c>
      <c r="D51" s="9">
        <f t="shared" si="0"/>
        <v>9</v>
      </c>
      <c r="E51" s="13">
        <f>SQRT((Results!L50-Results!$B50)^2+(Results!N50-Results!$D50)^2)</f>
        <v>0.39782805112555764</v>
      </c>
      <c r="G51" s="9">
        <f t="shared" si="1"/>
        <v>9</v>
      </c>
      <c r="H51" s="13">
        <f>SQRT((Results!Q50-Results!$B50)^2+(Results!S50-Results!$D50)^2)</f>
        <v>0.380600179201388</v>
      </c>
      <c r="J51" s="9">
        <f t="shared" si="2"/>
        <v>9</v>
      </c>
      <c r="K51" s="13">
        <f>SQRT((Results!V50-Results!$B50)^2+(Results!X50-Results!$D50)^2)</f>
        <v>0.37477291388176576</v>
      </c>
    </row>
    <row r="52" spans="1:11" x14ac:dyDescent="0.2">
      <c r="A52" s="9">
        <f>Results!F51</f>
        <v>9.1999999999999993</v>
      </c>
      <c r="B52" s="13">
        <f>SQRT((Results!G51-Results!$B51)^2+(Results!I51-Results!$D51)^2)</f>
        <v>0.48176488437493886</v>
      </c>
      <c r="D52" s="9">
        <f t="shared" si="0"/>
        <v>9.1999999999999993</v>
      </c>
      <c r="E52" s="13">
        <f>SQRT((Results!L51-Results!$B51)^2+(Results!N51-Results!$D51)^2)</f>
        <v>0.41188668675171641</v>
      </c>
      <c r="G52" s="9">
        <f t="shared" si="1"/>
        <v>9.1999999999999993</v>
      </c>
      <c r="H52" s="13">
        <f>SQRT((Results!Q51-Results!$B51)^2+(Results!S51-Results!$D51)^2)</f>
        <v>0.39323768007001619</v>
      </c>
      <c r="J52" s="9">
        <f t="shared" si="2"/>
        <v>9.1999999999999993</v>
      </c>
      <c r="K52" s="13">
        <f>SQRT((Results!V51-Results!$B51)^2+(Results!X51-Results!$D51)^2)</f>
        <v>0.38669994738583952</v>
      </c>
    </row>
    <row r="53" spans="1:11" x14ac:dyDescent="0.2">
      <c r="A53" s="9">
        <f>Results!F52</f>
        <v>9.3999999999999986</v>
      </c>
      <c r="B53" s="13">
        <f>SQRT((Results!G52-Results!$B52)^2+(Results!I52-Results!$D52)^2)</f>
        <v>0.50059988056363613</v>
      </c>
      <c r="D53" s="9">
        <f t="shared" si="0"/>
        <v>9.3999999999999986</v>
      </c>
      <c r="E53" s="13">
        <f>SQRT((Results!L52-Results!$B52)^2+(Results!N52-Results!$D52)^2)</f>
        <v>0.42606408428395226</v>
      </c>
      <c r="G53" s="9">
        <f t="shared" si="1"/>
        <v>9.3999999999999986</v>
      </c>
      <c r="H53" s="13">
        <f>SQRT((Results!Q52-Results!$B52)^2+(Results!S52-Results!$D52)^2)</f>
        <v>0.40594809619532712</v>
      </c>
      <c r="J53" s="9">
        <f t="shared" si="2"/>
        <v>9.3999999999999986</v>
      </c>
      <c r="K53" s="13">
        <f>SQRT((Results!V52-Results!$B52)^2+(Results!X52-Results!$D52)^2)</f>
        <v>0.39867707305087852</v>
      </c>
    </row>
    <row r="54" spans="1:11" x14ac:dyDescent="0.2">
      <c r="A54" s="9">
        <f>Results!F53</f>
        <v>9.5999999999999979</v>
      </c>
      <c r="B54" s="13">
        <f>SQRT((Results!G53-Results!$B53)^2+(Results!I53-Results!$D53)^2)</f>
        <v>0.51970929943447508</v>
      </c>
      <c r="D54" s="9">
        <f t="shared" si="0"/>
        <v>9.5999999999999979</v>
      </c>
      <c r="E54" s="13">
        <f>SQRT((Results!L53-Results!$B53)^2+(Results!N53-Results!$D53)^2)</f>
        <v>0.44035609126786213</v>
      </c>
      <c r="G54" s="9">
        <f t="shared" si="1"/>
        <v>9.5999999999999979</v>
      </c>
      <c r="H54" s="13">
        <f>SQRT((Results!Q53-Results!$B53)^2+(Results!S53-Results!$D53)^2)</f>
        <v>0.41872799858447801</v>
      </c>
      <c r="J54" s="9">
        <f t="shared" si="2"/>
        <v>9.5999999999999979</v>
      </c>
      <c r="K54" s="13">
        <f>SQRT((Results!V53-Results!$B53)^2+(Results!X53-Results!$D53)^2)</f>
        <v>0.41070146141831582</v>
      </c>
    </row>
    <row r="55" spans="1:11" x14ac:dyDescent="0.2">
      <c r="A55" s="9">
        <f>Results!F54</f>
        <v>9.7999999999999972</v>
      </c>
      <c r="B55" s="13">
        <f>SQRT((Results!G54-Results!$B54)^2+(Results!I54-Results!$D54)^2)</f>
        <v>0.53908912165001588</v>
      </c>
      <c r="D55" s="9">
        <f t="shared" si="0"/>
        <v>9.7999999999999972</v>
      </c>
      <c r="E55" s="13">
        <f>SQRT((Results!L54-Results!$B54)^2+(Results!N54-Results!$D54)^2)</f>
        <v>0.4547587072600851</v>
      </c>
      <c r="G55" s="9">
        <f t="shared" si="1"/>
        <v>9.7999999999999972</v>
      </c>
      <c r="H55" s="13">
        <f>SQRT((Results!Q54-Results!$B54)^2+(Results!S54-Results!$D54)^2)</f>
        <v>0.43157412428435582</v>
      </c>
      <c r="J55" s="9">
        <f t="shared" si="2"/>
        <v>9.7999999999999972</v>
      </c>
      <c r="K55" s="13">
        <f>SQRT((Results!V54-Results!$B54)^2+(Results!X54-Results!$D54)^2)</f>
        <v>0.42277044640078604</v>
      </c>
    </row>
    <row r="56" spans="1:11" x14ac:dyDescent="0.2">
      <c r="A56" s="9">
        <f>Results!F55</f>
        <v>9.9999999999999964</v>
      </c>
      <c r="B56" s="13">
        <f>SQRT((Results!G55-Results!$B55)^2+(Results!I55-Results!$D55)^2)</f>
        <v>0.55873539989390586</v>
      </c>
      <c r="D56" s="9">
        <f t="shared" si="0"/>
        <v>9.9999999999999964</v>
      </c>
      <c r="E56" s="13">
        <f>SQRT((Results!L55-Results!$B55)^2+(Results!N55-Results!$D55)^2)</f>
        <v>0.46926807824038985</v>
      </c>
      <c r="G56" s="9">
        <f t="shared" si="1"/>
        <v>9.9999999999999964</v>
      </c>
      <c r="H56" s="13">
        <f>SQRT((Results!Q55-Results!$B55)^2+(Results!S55-Results!$D55)^2)</f>
        <v>0.44448336831208518</v>
      </c>
      <c r="J56" s="9">
        <f t="shared" si="2"/>
        <v>9.9999999999999964</v>
      </c>
      <c r="K56" s="13">
        <f>SQRT((Results!V55-Results!$B55)^2+(Results!X55-Results!$D55)^2)</f>
        <v>0.43488151581133394</v>
      </c>
    </row>
    <row r="57" spans="1:11" x14ac:dyDescent="0.2">
      <c r="A57" s="9">
        <f>Results!F56</f>
        <v>10.499999999999996</v>
      </c>
      <c r="B57" s="13">
        <f>SQRT((Results!G56-Results!$B56)^2+(Results!I56-Results!$D56)^2)</f>
        <v>0.60899986633465053</v>
      </c>
      <c r="D57" s="9">
        <f t="shared" si="0"/>
        <v>10.499999999999996</v>
      </c>
      <c r="E57" s="13">
        <f>SQRT((Results!L56-Results!$B56)^2+(Results!N56-Results!$D56)^2)</f>
        <v>0.50599231268436151</v>
      </c>
      <c r="G57" s="9">
        <f t="shared" si="1"/>
        <v>10.499999999999996</v>
      </c>
      <c r="H57" s="13">
        <f>SQRT((Results!Q56-Results!$B56)^2+(Results!S56-Results!$D56)^2)</f>
        <v>0.47701969338946409</v>
      </c>
      <c r="J57" s="9">
        <f t="shared" si="2"/>
        <v>10.499999999999996</v>
      </c>
      <c r="K57" s="13">
        <f>SQRT((Results!V56-Results!$B56)^2+(Results!X56-Results!$D56)^2)</f>
        <v>0.46533295129812718</v>
      </c>
    </row>
    <row r="58" spans="1:11" x14ac:dyDescent="0.2">
      <c r="A58" s="9">
        <f>Results!F57</f>
        <v>10.999999999999996</v>
      </c>
      <c r="B58" s="13">
        <f>SQRT((Results!G57-Results!$B57)^2+(Results!I57-Results!$D57)^2)</f>
        <v>0.66084677668657255</v>
      </c>
      <c r="D58" s="9">
        <f t="shared" si="0"/>
        <v>10.999999999999996</v>
      </c>
      <c r="E58" s="13">
        <f>SQRT((Results!L57-Results!$B57)^2+(Results!N57-Results!$D57)^2)</f>
        <v>0.54330625841802105</v>
      </c>
      <c r="G58" s="9">
        <f t="shared" si="1"/>
        <v>10.999999999999996</v>
      </c>
      <c r="H58" s="13">
        <f>SQRT((Results!Q57-Results!$B57)^2+(Results!S57-Results!$D57)^2)</f>
        <v>0.50988978355911652</v>
      </c>
      <c r="J58" s="9">
        <f t="shared" si="2"/>
        <v>10.999999999999996</v>
      </c>
      <c r="K58" s="13">
        <f>SQRT((Results!V57-Results!$B57)^2+(Results!X57-Results!$D57)^2)</f>
        <v>0.49599936585546839</v>
      </c>
    </row>
    <row r="59" spans="1:11" x14ac:dyDescent="0.2">
      <c r="A59" s="9">
        <f>Results!F58</f>
        <v>11.499999999999996</v>
      </c>
      <c r="B59" s="13">
        <f>SQRT((Results!G58-Results!$B58)^2+(Results!I58-Results!$D58)^2)</f>
        <v>0.71422003972745551</v>
      </c>
      <c r="D59" s="9">
        <f t="shared" si="0"/>
        <v>11.499999999999996</v>
      </c>
      <c r="E59" s="13">
        <f>SQRT((Results!L58-Results!$B58)^2+(Results!N58-Results!$D58)^2)</f>
        <v>0.58116044739099437</v>
      </c>
      <c r="G59" s="9">
        <f t="shared" si="1"/>
        <v>11.499999999999996</v>
      </c>
      <c r="H59" s="13">
        <f>SQRT((Results!Q58-Results!$B58)^2+(Results!S58-Results!$D58)^2)</f>
        <v>0.54305631376616204</v>
      </c>
      <c r="J59" s="9">
        <f t="shared" si="2"/>
        <v>11.499999999999996</v>
      </c>
      <c r="K59" s="13">
        <f>SQRT((Results!V58-Results!$B58)^2+(Results!X58-Results!$D58)^2)</f>
        <v>0.5268521026055093</v>
      </c>
    </row>
    <row r="60" spans="1:11" x14ac:dyDescent="0.2">
      <c r="A60" s="9">
        <f>Results!F59</f>
        <v>11.999999999999996</v>
      </c>
      <c r="B60" s="13">
        <f>SQRT((Results!G59-Results!$B59)^2+(Results!I59-Results!$D59)^2)</f>
        <v>0.76906603162700959</v>
      </c>
      <c r="D60" s="9">
        <f t="shared" si="0"/>
        <v>11.999999999999996</v>
      </c>
      <c r="E60" s="13">
        <f>SQRT((Results!L59-Results!$B59)^2+(Results!N59-Results!$D59)^2)</f>
        <v>0.61950981350336765</v>
      </c>
      <c r="G60" s="9">
        <f t="shared" si="1"/>
        <v>11.999999999999996</v>
      </c>
      <c r="H60" s="13">
        <f>SQRT((Results!Q59-Results!$B59)^2+(Results!S59-Results!$D59)^2)</f>
        <v>0.57648631519167914</v>
      </c>
      <c r="J60" s="9">
        <f t="shared" si="2"/>
        <v>11.999999999999996</v>
      </c>
      <c r="K60" s="13">
        <f>SQRT((Results!V59-Results!$B59)^2+(Results!X59-Results!$D59)^2)</f>
        <v>0.55786646559426423</v>
      </c>
    </row>
    <row r="61" spans="1:11" x14ac:dyDescent="0.2">
      <c r="A61" s="9">
        <f>Results!F60</f>
        <v>12.499999999999996</v>
      </c>
      <c r="B61" s="13">
        <f>SQRT((Results!G60-Results!$B60)^2+(Results!I60-Results!$D60)^2)</f>
        <v>0.82533348261785555</v>
      </c>
      <c r="D61" s="9">
        <f t="shared" si="0"/>
        <v>12.499999999999996</v>
      </c>
      <c r="E61" s="13">
        <f>SQRT((Results!L60-Results!$B60)^2+(Results!N60-Results!$D60)^2)</f>
        <v>0.65831329991855791</v>
      </c>
      <c r="G61" s="9">
        <f t="shared" si="1"/>
        <v>12.499999999999996</v>
      </c>
      <c r="H61" s="13">
        <f>SQRT((Results!Q60-Results!$B60)^2+(Results!S60-Results!$D60)^2)</f>
        <v>0.61015066629533243</v>
      </c>
      <c r="J61" s="9">
        <f t="shared" si="2"/>
        <v>12.499999999999996</v>
      </c>
      <c r="K61" s="13">
        <f>SQRT((Results!V60-Results!$B60)^2+(Results!X60-Results!$D60)^2)</f>
        <v>0.58902117197666204</v>
      </c>
    </row>
    <row r="62" spans="1:11" x14ac:dyDescent="0.2">
      <c r="A62" s="9">
        <f>Results!F61</f>
        <v>12.999999999999996</v>
      </c>
      <c r="B62" s="13">
        <f>SQRT((Results!G61-Results!$B61)^2+(Results!I61-Results!$D61)^2)</f>
        <v>0.88297336866337983</v>
      </c>
      <c r="D62" s="9">
        <f t="shared" si="0"/>
        <v>12.999999999999996</v>
      </c>
      <c r="E62" s="13">
        <f>SQRT((Results!L61-Results!$B61)^2+(Results!N61-Results!$D61)^2)</f>
        <v>0.69753350150717408</v>
      </c>
      <c r="G62" s="9">
        <f t="shared" si="1"/>
        <v>12.999999999999996</v>
      </c>
      <c r="H62" s="13">
        <f>SQRT((Results!Q61-Results!$B61)^2+(Results!S61-Results!$D61)^2)</f>
        <v>0.64402364340357043</v>
      </c>
      <c r="J62" s="9">
        <f t="shared" si="2"/>
        <v>12.999999999999996</v>
      </c>
      <c r="K62" s="13">
        <f>SQRT((Results!V61-Results!$B61)^2+(Results!X61-Results!$D61)^2)</f>
        <v>0.62029788002625719</v>
      </c>
    </row>
    <row r="63" spans="1:11" x14ac:dyDescent="0.2">
      <c r="A63" s="9">
        <f>Results!F62</f>
        <v>13.499999999999996</v>
      </c>
      <c r="B63" s="13">
        <f>SQRT((Results!G62-Results!$B62)^2+(Results!I62-Results!$D62)^2)</f>
        <v>0.94193880789926954</v>
      </c>
      <c r="D63" s="9">
        <f t="shared" si="0"/>
        <v>13.499999999999996</v>
      </c>
      <c r="E63" s="13">
        <f>SQRT((Results!L62-Results!$B62)^2+(Results!N62-Results!$D62)^2)</f>
        <v>0.73713633926923261</v>
      </c>
      <c r="G63" s="9">
        <f t="shared" si="1"/>
        <v>13.499999999999996</v>
      </c>
      <c r="H63" s="13">
        <f>SQRT((Results!Q62-Results!$B62)^2+(Results!S62-Results!$D62)^2)</f>
        <v>0.67808252386603318</v>
      </c>
      <c r="J63" s="9">
        <f t="shared" si="2"/>
        <v>13.499999999999996</v>
      </c>
      <c r="K63" s="13">
        <f>SQRT((Results!V62-Results!$B62)^2+(Results!X62-Results!$D62)^2)</f>
        <v>0.65168078246536421</v>
      </c>
    </row>
    <row r="64" spans="1:11" x14ac:dyDescent="0.2">
      <c r="A64" s="9">
        <f>Results!F63</f>
        <v>13.999999999999996</v>
      </c>
      <c r="B64" s="13">
        <f>SQRT((Results!G63-Results!$B63)^2+(Results!I63-Results!$D63)^2)</f>
        <v>1.0021849616335363</v>
      </c>
      <c r="D64" s="9">
        <f t="shared" si="0"/>
        <v>13.999999999999996</v>
      </c>
      <c r="E64" s="13">
        <f>SQRT((Results!L63-Results!$B63)^2+(Results!N63-Results!$D63)^2)</f>
        <v>0.77709076386529463</v>
      </c>
      <c r="G64" s="9">
        <f t="shared" si="1"/>
        <v>13.999999999999996</v>
      </c>
      <c r="H64" s="13">
        <f>SQRT((Results!Q63-Results!$B63)^2+(Results!S63-Results!$D63)^2)</f>
        <v>0.71230723562174159</v>
      </c>
      <c r="J64" s="9">
        <f t="shared" si="2"/>
        <v>13.999999999999996</v>
      </c>
      <c r="K64" s="13">
        <f>SQRT((Results!V63-Results!$B63)^2+(Results!X63-Results!$D63)^2)</f>
        <v>0.68315625606803476</v>
      </c>
    </row>
    <row r="65" spans="1:11" x14ac:dyDescent="0.2">
      <c r="A65" s="9">
        <f>Results!F64</f>
        <v>14.499999999999996</v>
      </c>
      <c r="B65" s="13">
        <f>SQRT((Results!G64-Results!$B64)^2+(Results!I64-Results!$D64)^2)</f>
        <v>1.0636689396977912</v>
      </c>
      <c r="D65" s="9">
        <f t="shared" si="0"/>
        <v>14.499999999999996</v>
      </c>
      <c r="E65" s="13">
        <f>SQRT((Results!L64-Results!$B64)^2+(Results!N64-Results!$D64)^2)</f>
        <v>0.81736848564493814</v>
      </c>
      <c r="G65" s="9">
        <f t="shared" si="1"/>
        <v>14.499999999999996</v>
      </c>
      <c r="H65" s="13">
        <f>SQRT((Results!Q64-Results!$B64)^2+(Results!S64-Results!$D64)^2)</f>
        <v>0.74668004773930174</v>
      </c>
      <c r="J65" s="9">
        <f t="shared" si="2"/>
        <v>14.499999999999996</v>
      </c>
      <c r="K65" s="13">
        <f>SQRT((Results!V64-Results!$B64)^2+(Results!X64-Results!$D64)^2)</f>
        <v>0.71471255974271963</v>
      </c>
    </row>
    <row r="66" spans="1:11" x14ac:dyDescent="0.2">
      <c r="A66" s="9">
        <f>Results!F65</f>
        <v>14.999999999999996</v>
      </c>
      <c r="B66" s="13">
        <f>SQRT((Results!G65-Results!$B65)^2+(Results!I65-Results!$D65)^2)</f>
        <v>1.1263497099504116</v>
      </c>
      <c r="D66" s="9">
        <f t="shared" si="0"/>
        <v>14.999999999999996</v>
      </c>
      <c r="E66" s="13">
        <f>SQRT((Results!L65-Results!$B65)^2+(Results!N65-Results!$D65)^2)</f>
        <v>0.85794372879572967</v>
      </c>
      <c r="G66" s="9">
        <f t="shared" si="1"/>
        <v>14.999999999999996</v>
      </c>
      <c r="H66" s="13">
        <f>SQRT((Results!Q65-Results!$B65)^2+(Results!S65-Results!$D65)^2)</f>
        <v>0.7811852971330705</v>
      </c>
      <c r="J66" s="9">
        <f t="shared" si="2"/>
        <v>14.999999999999996</v>
      </c>
      <c r="K66" s="13">
        <f>SQRT((Results!V65-Results!$B65)^2+(Results!X65-Results!$D65)^2)</f>
        <v>0.7463395743817316</v>
      </c>
    </row>
    <row r="67" spans="1:11" x14ac:dyDescent="0.2">
      <c r="A67" s="9">
        <f>Results!F66</f>
        <v>15.499999999999996</v>
      </c>
      <c r="B67" s="13">
        <f>SQRT((Results!G66-Results!$B66)^2+(Results!I66-Results!$D66)^2)</f>
        <v>1.1901880117399968</v>
      </c>
      <c r="D67" s="9">
        <f t="shared" si="0"/>
        <v>15.499999999999996</v>
      </c>
      <c r="E67" s="13">
        <f>SQRT((Results!L66-Results!$B66)^2+(Results!N66-Results!$D66)^2)</f>
        <v>0.89879300744950752</v>
      </c>
      <c r="G67" s="9">
        <f t="shared" si="1"/>
        <v>15.499999999999996</v>
      </c>
      <c r="H67" s="13">
        <f>SQRT((Results!Q66-Results!$B66)^2+(Results!S66-Results!$D66)^2)</f>
        <v>0.81580914721998465</v>
      </c>
      <c r="J67" s="9">
        <f t="shared" si="2"/>
        <v>15.499999999999996</v>
      </c>
      <c r="K67" s="13">
        <f>SQRT((Results!V66-Results!$B66)^2+(Results!X66-Results!$D66)^2)</f>
        <v>0.77802857869498121</v>
      </c>
    </row>
    <row r="68" spans="1:11" x14ac:dyDescent="0.2">
      <c r="A68" s="9">
        <f>Results!F67</f>
        <v>15.999999999999996</v>
      </c>
      <c r="B68" s="13">
        <f>SQRT((Results!G67-Results!$B67)^2+(Results!I67-Results!$D67)^2)</f>
        <v>1.25514627314509</v>
      </c>
      <c r="D68" s="9">
        <f t="shared" si="0"/>
        <v>15.999999999999996</v>
      </c>
      <c r="E68" s="13">
        <f>SQRT((Results!L67-Results!$B67)^2+(Results!N67-Results!$D67)^2)</f>
        <v>0.93989492177723322</v>
      </c>
      <c r="G68" s="9">
        <f t="shared" si="1"/>
        <v>15.999999999999996</v>
      </c>
      <c r="H68" s="13">
        <f>SQRT((Results!Q67-Results!$B67)^2+(Results!S67-Results!$D67)^2)</f>
        <v>0.85053937477838704</v>
      </c>
      <c r="J68" s="9">
        <f t="shared" si="2"/>
        <v>15.999999999999996</v>
      </c>
      <c r="K68" s="13">
        <f>SQRT((Results!V67-Results!$B67)^2+(Results!X67-Results!$D67)^2)</f>
        <v>0.80977205604673574</v>
      </c>
    </row>
    <row r="69" spans="1:11" x14ac:dyDescent="0.2">
      <c r="A69" s="9">
        <f>Results!F68</f>
        <v>16.499999999999996</v>
      </c>
      <c r="B69" s="13">
        <f>SQRT((Results!G68-Results!$B68)^2+(Results!I68-Results!$D68)^2)</f>
        <v>1.321188531813585</v>
      </c>
      <c r="C69" s="14"/>
      <c r="D69" s="9">
        <f t="shared" si="0"/>
        <v>16.499999999999996</v>
      </c>
      <c r="E69" s="13">
        <f>SQRT((Results!L68-Results!$B68)^2+(Results!N68-Results!$D68)^2)</f>
        <v>0.98122997228060338</v>
      </c>
      <c r="F69" s="14"/>
      <c r="G69" s="9">
        <f t="shared" si="1"/>
        <v>16.499999999999996</v>
      </c>
      <c r="H69" s="13">
        <f>SQRT((Results!Q68-Results!$B68)^2+(Results!S68-Results!$D68)^2)</f>
        <v>0.8853651817084528</v>
      </c>
      <c r="I69" s="14"/>
      <c r="J69" s="9">
        <f t="shared" si="2"/>
        <v>16.499999999999996</v>
      </c>
      <c r="K69" s="13">
        <f>SQRT((Results!V68-Results!$B68)^2+(Results!X68-Results!$D68)^2)</f>
        <v>0.84156352800426859</v>
      </c>
    </row>
    <row r="70" spans="1:11" x14ac:dyDescent="0.2">
      <c r="A70" s="9">
        <f>Results!F69</f>
        <v>16.999999999999996</v>
      </c>
      <c r="B70" s="13">
        <f>SQRT((Results!G69-Results!$B69)^2+(Results!I69-Results!$D69)^2)</f>
        <v>1.3882803592324398</v>
      </c>
      <c r="C70" s="14"/>
      <c r="D70" s="9">
        <f t="shared" ref="D70:D72" si="3">A70</f>
        <v>16.999999999999996</v>
      </c>
      <c r="E70" s="13">
        <f>SQRT((Results!L69-Results!$B69)^2+(Results!N69-Results!$D69)^2)</f>
        <v>1.0227803906496029</v>
      </c>
      <c r="F70" s="14"/>
      <c r="G70" s="9">
        <f t="shared" ref="G70:G72" si="4">A70</f>
        <v>16.999999999999996</v>
      </c>
      <c r="H70" s="13">
        <f>SQRT((Results!Q69-Results!$B69)^2+(Results!S69-Results!$D69)^2)</f>
        <v>0.92027702878062978</v>
      </c>
      <c r="I70" s="14"/>
      <c r="J70" s="9">
        <f t="shared" ref="J70:J72" si="5">A70</f>
        <v>16.999999999999996</v>
      </c>
      <c r="K70" s="13">
        <f>SQRT((Results!V69-Results!$B69)^2+(Results!X69-Results!$D69)^2)</f>
        <v>0.87339741090168843</v>
      </c>
    </row>
    <row r="71" spans="1:11" x14ac:dyDescent="0.2">
      <c r="A71" s="9">
        <f>Results!F70</f>
        <v>17.499999999999996</v>
      </c>
      <c r="B71" s="13">
        <f>SQRT((Results!G70-Results!$B70)^2+(Results!I70-Results!$D70)^2)</f>
        <v>1.4563887882653326</v>
      </c>
      <c r="C71" s="14"/>
      <c r="D71" s="9">
        <f t="shared" si="3"/>
        <v>17.499999999999996</v>
      </c>
      <c r="E71" s="13">
        <f>SQRT((Results!L70-Results!$B70)^2+(Results!N70-Results!$D70)^2)</f>
        <v>1.0645299857016621</v>
      </c>
      <c r="F71" s="14"/>
      <c r="G71" s="9">
        <f t="shared" si="4"/>
        <v>17.499999999999996</v>
      </c>
      <c r="H71" s="13">
        <f>SQRT((Results!Q70-Results!$B70)^2+(Results!S70-Results!$D70)^2)</f>
        <v>0.95526648879987497</v>
      </c>
      <c r="I71" s="14"/>
      <c r="J71" s="9">
        <f t="shared" si="5"/>
        <v>17.499999999999996</v>
      </c>
      <c r="K71" s="13">
        <f>SQRT((Results!V70-Results!$B70)^2+(Results!X70-Results!$D70)^2)</f>
        <v>0.90526889223422236</v>
      </c>
    </row>
    <row r="72" spans="1:11" x14ac:dyDescent="0.2">
      <c r="A72" s="9">
        <f>Results!F71</f>
        <v>17.999999999999996</v>
      </c>
      <c r="B72" s="13">
        <f>SQRT((Results!G71-Results!$B71)^2+(Results!I71-Results!$D71)^2)</f>
        <v>1.5254822438026983</v>
      </c>
      <c r="C72" s="14"/>
      <c r="D72" s="9">
        <f t="shared" si="3"/>
        <v>17.999999999999996</v>
      </c>
      <c r="E72" s="13">
        <f>SQRT((Results!L71-Results!$B71)^2+(Results!N71-Results!$D71)^2)</f>
        <v>1.1064640030513651</v>
      </c>
      <c r="F72" s="14"/>
      <c r="G72" s="9">
        <f t="shared" si="4"/>
        <v>17.999999999999996</v>
      </c>
      <c r="H72" s="13">
        <f>SQRT((Results!Q71-Results!$B71)^2+(Results!S71-Results!$D71)^2)</f>
        <v>0.99032611691478567</v>
      </c>
      <c r="I72" s="14"/>
      <c r="J72" s="9">
        <f t="shared" si="5"/>
        <v>17.999999999999996</v>
      </c>
      <c r="K72" s="13">
        <f>SQRT((Results!V71-Results!$B71)^2+(Results!X71-Results!$D71)^2)</f>
        <v>0.93717382413925732</v>
      </c>
    </row>
    <row r="73" spans="1:11" x14ac:dyDescent="0.2">
      <c r="A73" s="9">
        <f>Results!F72</f>
        <v>18.499999999999996</v>
      </c>
      <c r="B73" s="13">
        <f>SQRT((Results!G72-Results!$B72)^2+(Results!I72-Results!$D72)^2)</f>
        <v>1.5955304763751199</v>
      </c>
      <c r="C73" s="14"/>
      <c r="D73" s="9">
        <f t="shared" ref="D73:D109" si="6">A73</f>
        <v>18.499999999999996</v>
      </c>
      <c r="E73" s="13">
        <f>SQRT((Results!L72-Results!$B72)^2+(Results!N72-Results!$D72)^2)</f>
        <v>1.1485689972808988</v>
      </c>
      <c r="F73" s="14"/>
      <c r="G73" s="9">
        <f t="shared" ref="G73:G109" si="7">A73</f>
        <v>18.499999999999996</v>
      </c>
      <c r="H73" s="13">
        <f>SQRT((Results!Q72-Results!$B72)^2+(Results!S72-Results!$D72)^2)</f>
        <v>1.0254493360666557</v>
      </c>
      <c r="I73" s="14"/>
      <c r="J73" s="9">
        <f t="shared" ref="J73:J109" si="8">A73</f>
        <v>18.499999999999996</v>
      </c>
      <c r="K73" s="13">
        <f>SQRT((Results!V72-Results!$B72)^2+(Results!X72-Results!$D72)^2)</f>
        <v>0.96910863160032357</v>
      </c>
    </row>
    <row r="74" spans="1:11" x14ac:dyDescent="0.2">
      <c r="A74" s="9">
        <f>Results!F73</f>
        <v>18.999999999999996</v>
      </c>
      <c r="B74" s="13">
        <f>SQRT((Results!G73-Results!$B73)^2+(Results!I73-Results!$D73)^2)</f>
        <v>1.666504498587392</v>
      </c>
      <c r="C74" s="14"/>
      <c r="D74" s="9">
        <f t="shared" si="6"/>
        <v>18.999999999999996</v>
      </c>
      <c r="E74" s="13">
        <f>SQRT((Results!L73-Results!$B73)^2+(Results!N73-Results!$D73)^2)</f>
        <v>1.1908327154917691</v>
      </c>
      <c r="F74" s="14"/>
      <c r="G74" s="9">
        <f t="shared" si="7"/>
        <v>18.999999999999996</v>
      </c>
      <c r="H74" s="13">
        <f>SQRT((Results!Q73-Results!$B73)^2+(Results!S73-Results!$D73)^2)</f>
        <v>1.0606303358082292</v>
      </c>
      <c r="I74" s="14"/>
      <c r="J74" s="9">
        <f t="shared" si="8"/>
        <v>18.999999999999996</v>
      </c>
      <c r="K74" s="13">
        <f>SQRT((Results!V73-Results!$B73)^2+(Results!X73-Results!$D73)^2)</f>
        <v>1.0010702333374544</v>
      </c>
    </row>
    <row r="75" spans="1:11" x14ac:dyDescent="0.2">
      <c r="A75" s="9">
        <f>Results!F74</f>
        <v>19.499999999999996</v>
      </c>
      <c r="B75" s="13">
        <f>SQRT((Results!G74-Results!$B74)^2+(Results!I74-Results!$D74)^2)</f>
        <v>1.7383765242366687</v>
      </c>
      <c r="C75" s="14"/>
      <c r="D75" s="9">
        <f t="shared" si="6"/>
        <v>19.499999999999996</v>
      </c>
      <c r="E75" s="13">
        <f>SQRT((Results!L74-Results!$B74)^2+(Results!N74-Results!$D74)^2)</f>
        <v>1.2332439912186695</v>
      </c>
      <c r="F75" s="14"/>
      <c r="G75" s="9">
        <f t="shared" si="7"/>
        <v>19.499999999999996</v>
      </c>
      <c r="H75" s="13">
        <f>SQRT((Results!Q74-Results!$B74)^2+(Results!S74-Results!$D74)^2)</f>
        <v>1.0958639829291335</v>
      </c>
      <c r="I75" s="14"/>
      <c r="J75" s="9">
        <f t="shared" si="8"/>
        <v>19.499999999999996</v>
      </c>
      <c r="K75" s="13">
        <f>SQRT((Results!V74-Results!$B74)^2+(Results!X74-Results!$D74)^2)</f>
        <v>1.0330559736292586</v>
      </c>
    </row>
    <row r="76" spans="1:11" x14ac:dyDescent="0.2">
      <c r="A76" s="9">
        <f>Results!F75</f>
        <v>19.999999999999996</v>
      </c>
      <c r="B76" s="13">
        <f>SQRT((Results!G75-Results!$B75)^2+(Results!I75-Results!$D75)^2)</f>
        <v>1.8111199099839537</v>
      </c>
      <c r="C76" s="14"/>
      <c r="D76" s="9">
        <f t="shared" si="6"/>
        <v>19.999999999999996</v>
      </c>
      <c r="E76" s="13">
        <f>SQRT((Results!L75-Results!$B75)^2+(Results!N75-Results!$D75)^2)</f>
        <v>1.2757926477777175</v>
      </c>
      <c r="F76" s="14"/>
      <c r="G76" s="9">
        <f t="shared" si="7"/>
        <v>19.999999999999996</v>
      </c>
      <c r="H76" s="13">
        <f>SQRT((Results!Q75-Results!$B75)^2+(Results!S75-Results!$D75)^2)</f>
        <v>1.1311457425078615</v>
      </c>
      <c r="I76" s="14"/>
      <c r="J76" s="9">
        <f t="shared" si="8"/>
        <v>19.999999999999996</v>
      </c>
      <c r="K76" s="13">
        <f>SQRT((Results!V75-Results!$B75)^2+(Results!X75-Results!$D75)^2)</f>
        <v>1.0650635635548804</v>
      </c>
    </row>
    <row r="77" spans="1:11" x14ac:dyDescent="0.2">
      <c r="A77" s="9">
        <f>Results!F76</f>
        <v>20.499999999999996</v>
      </c>
      <c r="B77" s="13">
        <f>SQRT((Results!G76-Results!$B76)^2+(Results!I76-Results!$D76)^2)</f>
        <v>1.8847090994538311</v>
      </c>
      <c r="C77" s="14"/>
      <c r="D77" s="9">
        <f t="shared" si="6"/>
        <v>20.499999999999996</v>
      </c>
      <c r="E77" s="13">
        <f>SQRT((Results!L76-Results!$B76)^2+(Results!N76-Results!$D76)^2)</f>
        <v>1.3184694102043637</v>
      </c>
      <c r="F77" s="14"/>
      <c r="G77" s="9">
        <f t="shared" si="7"/>
        <v>20.499999999999996</v>
      </c>
      <c r="H77" s="13">
        <f>SQRT((Results!Q76-Results!$B76)^2+(Results!S76-Results!$D76)^2)</f>
        <v>1.1664716081716444</v>
      </c>
      <c r="I77" s="14"/>
      <c r="J77" s="9">
        <f t="shared" si="8"/>
        <v>20.499999999999996</v>
      </c>
      <c r="K77" s="13">
        <f>SQRT((Results!V76-Results!$B76)^2+(Results!X76-Results!$D76)^2)</f>
        <v>1.0970910303532395</v>
      </c>
    </row>
    <row r="78" spans="1:11" x14ac:dyDescent="0.2">
      <c r="A78" s="9">
        <f>Results!F77</f>
        <v>20.999999999999996</v>
      </c>
      <c r="B78" s="13">
        <f>SQRT((Results!G77-Results!$B77)^2+(Results!I77-Results!$D77)^2)</f>
        <v>1.9591195696427108</v>
      </c>
      <c r="C78" s="14"/>
      <c r="D78" s="9">
        <f t="shared" si="6"/>
        <v>20.999999999999996</v>
      </c>
      <c r="E78" s="13">
        <f>SQRT((Results!L77-Results!$B77)^2+(Results!N77-Results!$D77)^2)</f>
        <v>1.361265825011855</v>
      </c>
      <c r="F78" s="14"/>
      <c r="G78" s="9">
        <f t="shared" si="7"/>
        <v>20.999999999999996</v>
      </c>
      <c r="H78" s="13">
        <f>SQRT((Results!Q77-Results!$B77)^2+(Results!S77-Results!$D77)^2)</f>
        <v>1.2018380404880791</v>
      </c>
      <c r="I78" s="14"/>
      <c r="J78" s="9">
        <f t="shared" si="8"/>
        <v>20.999999999999996</v>
      </c>
      <c r="K78" s="13">
        <f>SQRT((Results!V77-Results!$B77)^2+(Results!X77-Results!$D77)^2)</f>
        <v>1.1291366737771658</v>
      </c>
    </row>
    <row r="79" spans="1:11" x14ac:dyDescent="0.2">
      <c r="A79" s="9">
        <f>Results!F78</f>
        <v>21.499999999999996</v>
      </c>
      <c r="B79" s="13">
        <f>SQRT((Results!G78-Results!$B78)^2+(Results!I78-Results!$D78)^2)</f>
        <v>2.034327779521059</v>
      </c>
      <c r="C79" s="14"/>
      <c r="D79" s="9">
        <f t="shared" si="6"/>
        <v>21.499999999999996</v>
      </c>
      <c r="E79" s="13">
        <f>SQRT((Results!L78-Results!$B78)^2+(Results!N78-Results!$D78)^2)</f>
        <v>1.4041741870699349</v>
      </c>
      <c r="F79" s="14"/>
      <c r="G79" s="9">
        <f t="shared" si="7"/>
        <v>21.499999999999996</v>
      </c>
      <c r="H79" s="13">
        <f>SQRT((Results!Q78-Results!$B78)^2+(Results!S78-Results!$D78)^2)</f>
        <v>1.2372419125381913</v>
      </c>
      <c r="I79" s="14"/>
      <c r="J79" s="9">
        <f t="shared" si="8"/>
        <v>21.499999999999996</v>
      </c>
      <c r="K79" s="13">
        <f>SQRT((Results!V78-Results!$B78)^2+(Results!X78-Results!$D78)^2)</f>
        <v>1.1611990284753153</v>
      </c>
    </row>
    <row r="80" spans="1:11" x14ac:dyDescent="0.2">
      <c r="A80" s="9">
        <f>Results!F79</f>
        <v>21.999999999999996</v>
      </c>
      <c r="B80" s="13">
        <f>SQRT((Results!G79-Results!$B79)^2+(Results!I79-Results!$D79)^2)</f>
        <v>2.1103111207200129</v>
      </c>
      <c r="C80" s="14"/>
      <c r="D80" s="9">
        <f t="shared" si="6"/>
        <v>21.999999999999996</v>
      </c>
      <c r="E80" s="13">
        <f>SQRT((Results!L79-Results!$B79)^2+(Results!N79-Results!$D79)^2)</f>
        <v>1.4471874729660259</v>
      </c>
      <c r="F80" s="14"/>
      <c r="G80" s="9">
        <f t="shared" si="7"/>
        <v>21.999999999999996</v>
      </c>
      <c r="H80" s="13">
        <f>SQRT((Results!Q79-Results!$B79)^2+(Results!S79-Results!$D79)^2)</f>
        <v>1.2726804618317016</v>
      </c>
      <c r="I80" s="14"/>
      <c r="J80" s="9">
        <f t="shared" si="8"/>
        <v>21.999999999999996</v>
      </c>
      <c r="K80" s="13">
        <f>SQRT((Results!V79-Results!$B79)^2+(Results!X79-Results!$D79)^2)</f>
        <v>1.1932768315685263</v>
      </c>
    </row>
    <row r="81" spans="1:11" x14ac:dyDescent="0.2">
      <c r="A81" s="9">
        <f>Results!F80</f>
        <v>22.499999999999996</v>
      </c>
      <c r="B81" s="13">
        <f>SQRT((Results!G80-Results!$B80)^2+(Results!I80-Results!$D80)^2)</f>
        <v>2.187047870197516</v>
      </c>
      <c r="C81" s="14"/>
      <c r="D81" s="9">
        <f t="shared" si="6"/>
        <v>22.499999999999996</v>
      </c>
      <c r="E81" s="13">
        <f>SQRT((Results!L80-Results!$B80)^2+(Results!N80-Results!$D80)^2)</f>
        <v>1.4902992802680715</v>
      </c>
      <c r="F81" s="14"/>
      <c r="G81" s="9">
        <f t="shared" si="7"/>
        <v>22.499999999999996</v>
      </c>
      <c r="H81" s="13">
        <f>SQRT((Results!Q80-Results!$B80)^2+(Results!S80-Results!$D80)^2)</f>
        <v>1.3081512478233153</v>
      </c>
      <c r="I81" s="14"/>
      <c r="J81" s="9">
        <f t="shared" si="8"/>
        <v>22.499999999999996</v>
      </c>
      <c r="K81" s="13">
        <f>SQRT((Results!V80-Results!$B80)^2+(Results!X80-Results!$D80)^2)</f>
        <v>1.2253689947025068</v>
      </c>
    </row>
    <row r="82" spans="1:11" x14ac:dyDescent="0.2">
      <c r="A82" s="9">
        <f>Results!F81</f>
        <v>22.999999999999996</v>
      </c>
      <c r="B82" s="13">
        <f>SQRT((Results!G81-Results!$B81)^2+(Results!I81-Results!$D81)^2)</f>
        <v>2.2645171447836385</v>
      </c>
      <c r="C82" s="14"/>
      <c r="D82" s="9">
        <f t="shared" si="6"/>
        <v>22.999999999999996</v>
      </c>
      <c r="E82" s="13">
        <f>SQRT((Results!L81-Results!$B81)^2+(Results!N81-Results!$D81)^2)</f>
        <v>1.5335037721600198</v>
      </c>
      <c r="F82" s="14"/>
      <c r="G82" s="9">
        <f t="shared" si="7"/>
        <v>22.999999999999996</v>
      </c>
      <c r="H82" s="13">
        <f>SQRT((Results!Q81-Results!$B81)^2+(Results!S81-Results!$D81)^2)</f>
        <v>1.3436521143754232</v>
      </c>
      <c r="I82" s="14"/>
      <c r="J82" s="9">
        <f t="shared" si="8"/>
        <v>22.999999999999996</v>
      </c>
      <c r="K82" s="13">
        <f>SQRT((Results!V81-Results!$B81)^2+(Results!X81-Results!$D81)^2)</f>
        <v>1.2574745799580604</v>
      </c>
    </row>
    <row r="83" spans="1:11" x14ac:dyDescent="0.2">
      <c r="A83" s="9">
        <f>Results!F82</f>
        <v>23.499999999999996</v>
      </c>
      <c r="B83" s="13">
        <f>SQRT((Results!G82-Results!$B82)^2+(Results!I82-Results!$D82)^2)</f>
        <v>2.342698857509077</v>
      </c>
      <c r="C83" s="14"/>
      <c r="D83" s="9">
        <f t="shared" si="6"/>
        <v>23.499999999999996</v>
      </c>
      <c r="E83" s="13">
        <f>SQRT((Results!L82-Results!$B82)^2+(Results!N82-Results!$D82)^2)</f>
        <v>1.5767956269680563</v>
      </c>
      <c r="F83" s="14"/>
      <c r="G83" s="9">
        <f t="shared" si="7"/>
        <v>23.499999999999996</v>
      </c>
      <c r="H83" s="13">
        <f>SQRT((Results!Q82-Results!$B82)^2+(Results!S82-Results!$D82)^2)</f>
        <v>1.3791811565890333</v>
      </c>
      <c r="I83" s="14"/>
      <c r="J83" s="9">
        <f t="shared" si="8"/>
        <v>23.499999999999996</v>
      </c>
      <c r="K83" s="13">
        <f>SQRT((Results!V82-Results!$B82)^2+(Results!X82-Results!$D82)^2)</f>
        <v>1.289592779085565</v>
      </c>
    </row>
    <row r="84" spans="1:11" x14ac:dyDescent="0.2">
      <c r="A84" s="9">
        <f>Results!F83</f>
        <v>23.999999999999996</v>
      </c>
      <c r="B84" s="13">
        <f>SQRT((Results!G83-Results!$B83)^2+(Results!I83-Results!$D83)^2)</f>
        <v>2.4215736756249111</v>
      </c>
      <c r="C84" s="14"/>
      <c r="D84" s="9">
        <f t="shared" si="6"/>
        <v>23.999999999999996</v>
      </c>
      <c r="E84" s="13">
        <f>SQRT((Results!L83-Results!$B83)^2+(Results!N83-Results!$D83)^2)</f>
        <v>1.6201699921385524</v>
      </c>
      <c r="F84" s="14"/>
      <c r="G84" s="9">
        <f t="shared" si="7"/>
        <v>23.999999999999996</v>
      </c>
      <c r="H84" s="13">
        <f>SQRT((Results!Q83-Results!$B83)^2+(Results!S83-Results!$D83)^2)</f>
        <v>1.4147366914921999</v>
      </c>
      <c r="I84" s="14"/>
      <c r="J84" s="9">
        <f t="shared" si="8"/>
        <v>23.999999999999996</v>
      </c>
      <c r="K84" s="13">
        <f>SQRT((Results!V83-Results!$B83)^2+(Results!X83-Results!$D83)^2)</f>
        <v>1.3217228956041489</v>
      </c>
    </row>
    <row r="85" spans="1:11" x14ac:dyDescent="0.2">
      <c r="A85" s="9">
        <f>Results!F84</f>
        <v>24.499999999999996</v>
      </c>
      <c r="B85" s="13">
        <f>SQRT((Results!G84-Results!$B84)^2+(Results!I84-Results!$D84)^2)</f>
        <v>2.5011229802256909</v>
      </c>
      <c r="C85" s="14"/>
      <c r="D85" s="9">
        <f t="shared" si="6"/>
        <v>24.499999999999996</v>
      </c>
      <c r="E85" s="13">
        <f>SQRT((Results!L84-Results!$B84)^2+(Results!N84-Results!$D84)^2)</f>
        <v>1.6636224422677108</v>
      </c>
      <c r="F85" s="14"/>
      <c r="G85" s="9">
        <f t="shared" si="7"/>
        <v>24.499999999999996</v>
      </c>
      <c r="H85" s="13">
        <f>SQRT((Results!Q84-Results!$B84)^2+(Results!S84-Results!$D84)^2)</f>
        <v>1.4503172321348126</v>
      </c>
      <c r="I85" s="14"/>
      <c r="J85" s="9">
        <f t="shared" si="8"/>
        <v>24.499999999999996</v>
      </c>
      <c r="K85" s="13">
        <f>SQRT((Results!V84-Results!$B84)^2+(Results!X84-Results!$D84)^2)</f>
        <v>1.3538643293694856</v>
      </c>
    </row>
    <row r="86" spans="1:11" x14ac:dyDescent="0.2">
      <c r="A86" s="9">
        <f>Results!F85</f>
        <v>24.999999999999996</v>
      </c>
      <c r="B86" s="13">
        <f>SQRT((Results!G85-Results!$B85)^2+(Results!I85-Results!$D85)^2)</f>
        <v>2.5813288273916242</v>
      </c>
      <c r="C86" s="14"/>
      <c r="D86" s="9">
        <f t="shared" si="6"/>
        <v>24.999999999999996</v>
      </c>
      <c r="E86" s="13">
        <f>SQRT((Results!L85-Results!$B85)^2+(Results!N85-Results!$D85)^2)</f>
        <v>1.7071489408183611</v>
      </c>
      <c r="F86" s="14"/>
      <c r="G86" s="9">
        <f t="shared" si="7"/>
        <v>24.999999999999996</v>
      </c>
      <c r="H86" s="13">
        <f>SQRT((Results!Q85-Results!$B85)^2+(Results!S85-Results!$D85)^2)</f>
        <v>1.4859214646911412</v>
      </c>
      <c r="I86" s="14"/>
      <c r="J86" s="9">
        <f t="shared" si="8"/>
        <v>24.999999999999996</v>
      </c>
      <c r="K86" s="13">
        <f>SQRT((Results!V85-Results!$B85)^2+(Results!X85-Results!$D85)^2)</f>
        <v>1.3860165632688384</v>
      </c>
    </row>
    <row r="87" spans="1:11" x14ac:dyDescent="0.2">
      <c r="A87" s="9">
        <f>Results!F86</f>
        <v>25.499999999999996</v>
      </c>
      <c r="B87" s="13">
        <f>SQRT((Results!G86-Results!$B86)^2+(Results!I86-Results!$D86)^2)</f>
        <v>2.6621739107692264</v>
      </c>
      <c r="C87" s="14"/>
      <c r="D87" s="9">
        <f t="shared" si="6"/>
        <v>25.499999999999996</v>
      </c>
      <c r="E87" s="13">
        <f>SQRT((Results!L86-Results!$B86)^2+(Results!N86-Results!$D86)^2)</f>
        <v>1.7507458051916078</v>
      </c>
      <c r="F87" s="14"/>
      <c r="G87" s="9">
        <f t="shared" si="7"/>
        <v>25.499999999999996</v>
      </c>
      <c r="H87" s="13">
        <f>SQRT((Results!Q86-Results!$B86)^2+(Results!S86-Results!$D86)^2)</f>
        <v>1.5215482282179673</v>
      </c>
      <c r="I87" s="14"/>
      <c r="J87" s="9">
        <f t="shared" si="8"/>
        <v>25.499999999999996</v>
      </c>
      <c r="K87" s="13">
        <f>SQRT((Results!V86-Results!$B86)^2+(Results!X86-Results!$D86)^2)</f>
        <v>1.418179151749108</v>
      </c>
    </row>
    <row r="88" spans="1:11" x14ac:dyDescent="0.2">
      <c r="A88" s="9">
        <f>Results!F87</f>
        <v>25.999999999999996</v>
      </c>
      <c r="B88" s="13">
        <f>SQRT((Results!G87-Results!$B87)^2+(Results!I87-Results!$D87)^2)</f>
        <v>2.7436415255132176</v>
      </c>
      <c r="C88" s="14"/>
      <c r="D88" s="9">
        <f t="shared" si="6"/>
        <v>25.999999999999996</v>
      </c>
      <c r="E88" s="13">
        <f>SQRT((Results!L87-Results!$B87)^2+(Results!N87-Results!$D87)^2)</f>
        <v>1.7944096748504046</v>
      </c>
      <c r="F88" s="14"/>
      <c r="G88" s="9">
        <f t="shared" si="7"/>
        <v>25.999999999999996</v>
      </c>
      <c r="H88" s="13">
        <f>SQRT((Results!Q87-Results!$B87)^2+(Results!S87-Results!$D87)^2)</f>
        <v>1.5571964967570988</v>
      </c>
      <c r="I88" s="14"/>
      <c r="J88" s="9">
        <f t="shared" si="8"/>
        <v>25.999999999999996</v>
      </c>
      <c r="K88" s="13">
        <f>SQRT((Results!V87-Results!$B87)^2+(Results!X87-Results!$D87)^2)</f>
        <v>1.4503517109242443</v>
      </c>
    </row>
    <row r="89" spans="1:11" x14ac:dyDescent="0.2">
      <c r="A89" s="9">
        <f>Results!F88</f>
        <v>26.499999999999996</v>
      </c>
      <c r="B89" s="13">
        <f>SQRT((Results!G88-Results!$B88)^2+(Results!I88-Results!$D88)^2)</f>
        <v>2.8257155335156585</v>
      </c>
      <c r="C89" s="14"/>
      <c r="D89" s="9">
        <f t="shared" si="6"/>
        <v>26.499999999999996</v>
      </c>
      <c r="E89" s="13">
        <f>SQRT((Results!L88-Results!$B88)^2+(Results!N88-Results!$D88)^2)</f>
        <v>1.838137482218785</v>
      </c>
      <c r="F89" s="14"/>
      <c r="G89" s="9">
        <f t="shared" si="7"/>
        <v>26.499999999999996</v>
      </c>
      <c r="H89" s="13">
        <f>SQRT((Results!Q88-Results!$B88)^2+(Results!S88-Results!$D88)^2)</f>
        <v>1.5928653635071974</v>
      </c>
      <c r="I89" s="14"/>
      <c r="J89" s="9">
        <f t="shared" si="8"/>
        <v>26.499999999999996</v>
      </c>
      <c r="K89" s="13">
        <f>SQRT((Results!V88-Results!$B88)^2+(Results!X88-Results!$D88)^2)</f>
        <v>1.4825339100433499</v>
      </c>
    </row>
    <row r="90" spans="1:11" x14ac:dyDescent="0.2">
      <c r="A90" s="9">
        <f>Results!F89</f>
        <v>26.999999999999996</v>
      </c>
      <c r="B90" s="13">
        <f>SQRT((Results!G89-Results!$B89)^2+(Results!I89-Results!$D89)^2)</f>
        <v>2.9083803298514397</v>
      </c>
      <c r="C90" s="14"/>
      <c r="D90" s="9">
        <f t="shared" si="6"/>
        <v>26.999999999999996</v>
      </c>
      <c r="E90" s="13">
        <f>SQRT((Results!L89-Results!$B89)^2+(Results!N89-Results!$D89)^2)</f>
        <v>1.8819264261047532</v>
      </c>
      <c r="F90" s="14"/>
      <c r="G90" s="9">
        <f t="shared" si="7"/>
        <v>26.999999999999996</v>
      </c>
      <c r="H90" s="13">
        <f>SQRT((Results!Q89-Results!$B89)^2+(Results!S89-Results!$D89)^2)</f>
        <v>1.6285540268217751</v>
      </c>
      <c r="I90" s="14"/>
      <c r="J90" s="9">
        <f t="shared" si="8"/>
        <v>26.999999999999996</v>
      </c>
      <c r="K90" s="13">
        <f>SQRT((Results!V89-Results!$B89)^2+(Results!X89-Results!$D89)^2)</f>
        <v>1.5147254641309276</v>
      </c>
    </row>
    <row r="91" spans="1:11" x14ac:dyDescent="0.2">
      <c r="A91" s="9">
        <f>Results!F90</f>
        <v>27.499999999999996</v>
      </c>
      <c r="B91" s="13">
        <f>SQRT((Results!G90-Results!$B90)^2+(Results!I90-Results!$D90)^2)</f>
        <v>2.9916208103721442</v>
      </c>
      <c r="C91" s="14"/>
      <c r="D91" s="9">
        <f t="shared" si="6"/>
        <v>27.499999999999996</v>
      </c>
      <c r="E91" s="13">
        <f>SQRT((Results!L90-Results!$B90)^2+(Results!N90-Results!$D90)^2)</f>
        <v>1.9257739474168669</v>
      </c>
      <c r="F91" s="14"/>
      <c r="G91" s="9">
        <f t="shared" si="7"/>
        <v>27.499999999999996</v>
      </c>
      <c r="H91" s="13">
        <f>SQRT((Results!Q90-Results!$B90)^2+(Results!S90-Results!$D90)^2)</f>
        <v>1.6642617778183291</v>
      </c>
      <c r="I91" s="14"/>
      <c r="J91" s="9">
        <f t="shared" si="8"/>
        <v>27.499999999999996</v>
      </c>
      <c r="K91" s="13">
        <f>SQRT((Results!V90-Results!$B90)^2+(Results!X90-Results!$D90)^2)</f>
        <v>1.5469261276366697</v>
      </c>
    </row>
    <row r="92" spans="1:11" x14ac:dyDescent="0.2">
      <c r="A92" s="9">
        <f>Results!F91</f>
        <v>27.999999999999996</v>
      </c>
      <c r="B92" s="13">
        <f>SQRT((Results!G91-Results!$B91)^2+(Results!I91-Results!$D91)^2)</f>
        <v>3.0754223403831311</v>
      </c>
      <c r="C92" s="14"/>
      <c r="D92" s="9">
        <f t="shared" si="6"/>
        <v>27.999999999999996</v>
      </c>
      <c r="E92" s="13">
        <f>SQRT((Results!L91-Results!$B91)^2+(Results!N91-Results!$D91)^2)</f>
        <v>1.9696777069646061</v>
      </c>
      <c r="F92" s="14"/>
      <c r="G92" s="9">
        <f t="shared" si="7"/>
        <v>27.999999999999996</v>
      </c>
      <c r="H92" s="13">
        <f>SQRT((Results!Q91-Results!$B91)^2+(Results!S91-Results!$D91)^2)</f>
        <v>1.6999879894084606</v>
      </c>
      <c r="I92" s="14"/>
      <c r="J92" s="9">
        <f t="shared" si="8"/>
        <v>27.999999999999996</v>
      </c>
      <c r="K92" s="13">
        <f>SQRT((Results!V91-Results!$B91)^2+(Results!X91-Results!$D91)^2)</f>
        <v>1.5791356889545358</v>
      </c>
    </row>
    <row r="93" spans="1:11" x14ac:dyDescent="0.2">
      <c r="A93" s="9">
        <f>Results!F92</f>
        <v>28.499999999999996</v>
      </c>
      <c r="B93" s="13">
        <f>SQRT((Results!G92-Results!$B92)^2+(Results!I92-Results!$D92)^2)</f>
        <v>3.1597707243413211</v>
      </c>
      <c r="C93" s="14"/>
      <c r="D93" s="9">
        <f t="shared" si="6"/>
        <v>28.499999999999996</v>
      </c>
      <c r="E93" s="13">
        <f>SQRT((Results!L92-Results!$B92)^2+(Results!N92-Results!$D92)^2)</f>
        <v>2.0136355651507771</v>
      </c>
      <c r="F93" s="14"/>
      <c r="G93" s="9">
        <f t="shared" si="7"/>
        <v>28.499999999999996</v>
      </c>
      <c r="H93" s="13">
        <f>SQRT((Results!Q92-Results!$B92)^2+(Results!S92-Results!$D92)^2)</f>
        <v>1.7357321065806612</v>
      </c>
      <c r="I93" s="14"/>
      <c r="J93" s="9">
        <f t="shared" si="8"/>
        <v>28.499999999999996</v>
      </c>
      <c r="K93" s="13">
        <f>SQRT((Results!V92-Results!$B92)^2+(Results!X92-Results!$D92)^2)</f>
        <v>1.6113539656900777</v>
      </c>
    </row>
    <row r="94" spans="1:11" x14ac:dyDescent="0.2">
      <c r="A94" s="9">
        <f>Results!F93</f>
        <v>28.999999999999996</v>
      </c>
      <c r="B94" s="13">
        <f>SQRT((Results!G93-Results!$B93)^2+(Results!I93-Results!$D93)^2)</f>
        <v>3.2446521765137062</v>
      </c>
      <c r="C94" s="14"/>
      <c r="D94" s="9">
        <f t="shared" si="6"/>
        <v>28.999999999999996</v>
      </c>
      <c r="E94" s="13">
        <f>SQRT((Results!L93-Results!$B93)^2+(Results!N93-Results!$D93)^2)</f>
        <v>2.057645563380766</v>
      </c>
      <c r="F94" s="14"/>
      <c r="G94" s="9">
        <f t="shared" si="7"/>
        <v>28.999999999999996</v>
      </c>
      <c r="H94" s="13">
        <f>SQRT((Results!Q93-Results!$B93)^2+(Results!S93-Results!$D93)^2)</f>
        <v>1.7714936377867927</v>
      </c>
      <c r="I94" s="14"/>
      <c r="J94" s="9">
        <f t="shared" si="8"/>
        <v>28.999999999999996</v>
      </c>
      <c r="K94" s="13">
        <f>SQRT((Results!V93-Results!$B93)^2+(Results!X93-Results!$D93)^2)</f>
        <v>1.6435808005715373</v>
      </c>
    </row>
    <row r="95" spans="1:11" x14ac:dyDescent="0.2">
      <c r="A95" s="9">
        <f>Results!F94</f>
        <v>29.499999999999996</v>
      </c>
      <c r="B95" s="13">
        <f>SQRT((Results!G94-Results!$B94)^2+(Results!I94-Results!$D94)^2)</f>
        <v>3.3300532925390387</v>
      </c>
      <c r="C95" s="14"/>
      <c r="D95" s="9">
        <f t="shared" si="6"/>
        <v>29.499999999999996</v>
      </c>
      <c r="E95" s="13">
        <f>SQRT((Results!L94-Results!$B94)^2+(Results!N94-Results!$D94)^2)</f>
        <v>2.1017059070284039</v>
      </c>
      <c r="F95" s="14"/>
      <c r="G95" s="9">
        <f t="shared" si="7"/>
        <v>29.499999999999996</v>
      </c>
      <c r="H95" s="13">
        <f>SQRT((Results!Q94-Results!$B94)^2+(Results!S94-Results!$D94)^2)</f>
        <v>1.8072721473002666</v>
      </c>
      <c r="I95" s="14"/>
      <c r="J95" s="9">
        <f t="shared" si="8"/>
        <v>29.499999999999996</v>
      </c>
      <c r="K95" s="13">
        <f>SQRT((Results!V94-Results!$B94)^2+(Results!X94-Results!$D94)^2)</f>
        <v>1.6758160579144721</v>
      </c>
    </row>
    <row r="96" spans="1:11" x14ac:dyDescent="0.2">
      <c r="A96" s="9">
        <f>Results!F95</f>
        <v>29.999999999999996</v>
      </c>
      <c r="B96" s="13">
        <f>SQRT((Results!G95-Results!$B95)^2+(Results!I95-Results!$D95)^2)</f>
        <v>3.415961021837405</v>
      </c>
      <c r="C96" s="14"/>
      <c r="D96" s="9">
        <f t="shared" si="6"/>
        <v>29.999999999999996</v>
      </c>
      <c r="E96" s="13">
        <f>SQRT((Results!L95-Results!$B95)^2+(Results!N95-Results!$D95)^2)</f>
        <v>2.1458149498118533</v>
      </c>
      <c r="F96" s="14"/>
      <c r="G96" s="9">
        <f t="shared" si="7"/>
        <v>29.999999999999996</v>
      </c>
      <c r="H96" s="13">
        <f>SQRT((Results!Q95-Results!$B95)^2+(Results!S95-Results!$D95)^2)</f>
        <v>1.8430672484289041</v>
      </c>
      <c r="I96" s="14"/>
      <c r="J96" s="9">
        <f t="shared" si="8"/>
        <v>29.999999999999996</v>
      </c>
      <c r="K96" s="13">
        <f>SQRT((Results!V95-Results!$B95)^2+(Results!X95-Results!$D95)^2)</f>
        <v>1.7080596205618837</v>
      </c>
    </row>
    <row r="97" spans="1:11" x14ac:dyDescent="0.2">
      <c r="A97" s="9">
        <f>Results!F96</f>
        <v>30.499999999999996</v>
      </c>
      <c r="B97" s="13">
        <f>SQRT((Results!G96-Results!$B96)^2+(Results!I96-Results!$D96)^2)</f>
        <v>3.5023626408146056</v>
      </c>
      <c r="C97" s="14"/>
      <c r="D97" s="9">
        <f t="shared" si="6"/>
        <v>30.499999999999996</v>
      </c>
      <c r="E97" s="13">
        <f>SQRT((Results!L96-Results!$B96)^2+(Results!N96-Results!$D96)^2)</f>
        <v>2.1899711794451928</v>
      </c>
      <c r="F97" s="14"/>
      <c r="G97" s="9">
        <f t="shared" si="7"/>
        <v>30.499999999999996</v>
      </c>
      <c r="H97" s="13">
        <f>SQRT((Results!Q96-Results!$B96)^2+(Results!S96-Results!$D96)^2)</f>
        <v>1.8788785974786237</v>
      </c>
      <c r="I97" s="14"/>
      <c r="J97" s="9">
        <f t="shared" si="8"/>
        <v>30.499999999999996</v>
      </c>
      <c r="K97" s="13">
        <f>SQRT((Results!V96-Results!$B96)^2+(Results!X96-Results!$D96)^2)</f>
        <v>1.7403113872323386</v>
      </c>
    </row>
    <row r="98" spans="1:11" x14ac:dyDescent="0.2">
      <c r="A98" s="9">
        <f>Results!F97</f>
        <v>30.999999999999996</v>
      </c>
      <c r="B98" s="13">
        <f>SQRT((Results!G97-Results!$B97)^2+(Results!I97-Results!$D97)^2)</f>
        <v>3.5892457268103541</v>
      </c>
      <c r="C98" s="14"/>
      <c r="D98" s="9">
        <f t="shared" si="6"/>
        <v>30.999999999999996</v>
      </c>
      <c r="E98" s="13">
        <f>SQRT((Results!L97-Results!$B97)^2+(Results!N97-Results!$D97)^2)</f>
        <v>2.2341732044425844</v>
      </c>
      <c r="F98" s="14"/>
      <c r="G98" s="9">
        <f t="shared" si="7"/>
        <v>30.999999999999996</v>
      </c>
      <c r="H98" s="13">
        <f>SQRT((Results!Q97-Results!$B97)^2+(Results!S97-Results!$D97)^2)</f>
        <v>1.9147058883756853</v>
      </c>
      <c r="I98" s="14"/>
      <c r="J98" s="9">
        <f t="shared" si="8"/>
        <v>30.999999999999996</v>
      </c>
      <c r="K98" s="13">
        <f>SQRT((Results!V97-Results!$B97)^2+(Results!X97-Results!$D97)^2)</f>
        <v>1.77257127021756</v>
      </c>
    </row>
    <row r="99" spans="1:11" x14ac:dyDescent="0.2">
      <c r="A99" s="9">
        <f>Results!F98</f>
        <v>31.499999999999996</v>
      </c>
      <c r="B99" s="13">
        <f>SQRT((Results!G98-Results!$B98)^2+(Results!I98-Results!$D98)^2)</f>
        <v>3.6765981327412511</v>
      </c>
      <c r="C99" s="14"/>
      <c r="D99" s="9">
        <f t="shared" si="6"/>
        <v>31.499999999999996</v>
      </c>
      <c r="E99" s="13">
        <f>SQRT((Results!L98-Results!$B98)^2+(Results!N98-Results!$D98)^2)</f>
        <v>2.2784197419619763</v>
      </c>
      <c r="F99" s="14"/>
      <c r="G99" s="9">
        <f t="shared" si="7"/>
        <v>31.499999999999996</v>
      </c>
      <c r="H99" s="13">
        <f>SQRT((Results!Q98-Results!$B98)^2+(Results!S98-Results!$D98)^2)</f>
        <v>1.9505488478653663</v>
      </c>
      <c r="I99" s="14"/>
      <c r="J99" s="9">
        <f t="shared" si="8"/>
        <v>31.499999999999996</v>
      </c>
      <c r="K99" s="13">
        <f>SQRT((Results!V98-Results!$B98)^2+(Results!X98-Results!$D98)^2)</f>
        <v>1.8048391933786638</v>
      </c>
    </row>
    <row r="100" spans="1:11" x14ac:dyDescent="0.2">
      <c r="A100" s="9">
        <f>Results!F99</f>
        <v>31.999999999999996</v>
      </c>
      <c r="B100" s="13">
        <f>SQRT((Results!G99-Results!$B99)^2+(Results!I99-Results!$D99)^2)</f>
        <v>3.7644079623914339</v>
      </c>
      <c r="C100" s="14"/>
      <c r="D100" s="9">
        <f t="shared" si="6"/>
        <v>31.999999999999996</v>
      </c>
      <c r="E100" s="13">
        <f>SQRT((Results!L99-Results!$B99)^2+(Results!N99-Results!$D99)^2)</f>
        <v>2.3227096065844055</v>
      </c>
      <c r="F100" s="14"/>
      <c r="G100" s="9">
        <f t="shared" si="7"/>
        <v>31.999999999999996</v>
      </c>
      <c r="H100" s="13">
        <f>SQRT((Results!Q99-Results!$B99)^2+(Results!S99-Results!$D99)^2)</f>
        <v>1.9864072312138386</v>
      </c>
      <c r="I100" s="14"/>
      <c r="J100" s="9">
        <f t="shared" si="8"/>
        <v>31.999999999999996</v>
      </c>
      <c r="K100" s="13">
        <f>SQRT((Results!V99-Results!$B99)^2+(Results!X99-Results!$D99)^2)</f>
        <v>1.8371150903967872</v>
      </c>
    </row>
    <row r="101" spans="1:11" x14ac:dyDescent="0.2">
      <c r="A101" s="9">
        <f>Results!F100</f>
        <v>32.5</v>
      </c>
      <c r="B101" s="13">
        <f>SQRT((Results!G100-Results!$B100)^2+(Results!I100-Results!$D100)^2)</f>
        <v>3.8526635463055916</v>
      </c>
      <c r="C101" s="14"/>
      <c r="D101" s="9">
        <f t="shared" si="6"/>
        <v>32.5</v>
      </c>
      <c r="E101" s="13">
        <f>SQRT((Results!L100-Results!$B100)^2+(Results!N100-Results!$D100)^2)</f>
        <v>2.3670416999332238</v>
      </c>
      <c r="F101" s="14"/>
      <c r="G101" s="9">
        <f t="shared" si="7"/>
        <v>32.5</v>
      </c>
      <c r="H101" s="13">
        <f>SQRT((Results!Q100-Results!$B100)^2+(Results!S100-Results!$D100)^2)</f>
        <v>2.0222808183478116</v>
      </c>
      <c r="I101" s="14"/>
      <c r="J101" s="9">
        <f t="shared" si="8"/>
        <v>32.5</v>
      </c>
      <c r="K101" s="13">
        <f>SQRT((Results!V100-Results!$B100)^2+(Results!X100-Results!$D100)^2)</f>
        <v>1.8693989032394256</v>
      </c>
    </row>
    <row r="102" spans="1:11" x14ac:dyDescent="0.2">
      <c r="A102" s="9">
        <f>Results!F101</f>
        <v>33</v>
      </c>
      <c r="B102" s="13">
        <f>SQRT((Results!G101-Results!$B101)^2+(Results!I101-Results!$D101)^2)</f>
        <v>3.9413534182407548</v>
      </c>
      <c r="C102" s="14"/>
      <c r="D102" s="9">
        <f t="shared" si="6"/>
        <v>33</v>
      </c>
      <c r="E102" s="13">
        <f>SQRT((Results!L101-Results!$B101)^2+(Results!N101-Results!$D101)^2)</f>
        <v>2.411415001044936</v>
      </c>
      <c r="F102" s="14"/>
      <c r="G102" s="9">
        <f t="shared" si="7"/>
        <v>33</v>
      </c>
      <c r="H102" s="13">
        <f>SQRT((Results!Q101-Results!$B101)^2+(Results!S101-Results!$D101)^2)</f>
        <v>2.0581694103732588</v>
      </c>
      <c r="I102" s="14"/>
      <c r="J102" s="9">
        <f t="shared" si="8"/>
        <v>33</v>
      </c>
      <c r="K102" s="13">
        <f>SQRT((Results!V101-Results!$B101)^2+(Results!X101-Results!$D101)^2)</f>
        <v>1.9016905808085303</v>
      </c>
    </row>
    <row r="103" spans="1:11" x14ac:dyDescent="0.2">
      <c r="A103" s="9">
        <f>Results!F102</f>
        <v>33.5</v>
      </c>
      <c r="B103" s="13">
        <f>SQRT((Results!G102-Results!$B102)^2+(Results!I102-Results!$D102)^2)</f>
        <v>4.030466292135003</v>
      </c>
      <c r="C103" s="14"/>
      <c r="D103" s="9">
        <f t="shared" si="6"/>
        <v>33.5</v>
      </c>
      <c r="E103" s="13">
        <f>SQRT((Results!L102-Results!$B102)^2+(Results!N102-Results!$D102)^2)</f>
        <v>2.4558285574100283</v>
      </c>
      <c r="F103" s="14"/>
      <c r="G103" s="9">
        <f t="shared" si="7"/>
        <v>33.5</v>
      </c>
      <c r="H103" s="13">
        <f>SQRT((Results!Q102-Results!$B102)^2+(Results!S102-Results!$D102)^2)</f>
        <v>2.0940728264204358</v>
      </c>
      <c r="I103" s="14"/>
      <c r="J103" s="9">
        <f t="shared" si="8"/>
        <v>33.5</v>
      </c>
      <c r="K103" s="13">
        <f>SQRT((Results!V102-Results!$B102)^2+(Results!X102-Results!$D102)^2)</f>
        <v>1.9339900777403798</v>
      </c>
    </row>
    <row r="104" spans="1:11" x14ac:dyDescent="0.2">
      <c r="A104" s="9">
        <f>Results!F103</f>
        <v>34</v>
      </c>
      <c r="B104" s="13">
        <f>SQRT((Results!G103-Results!$B103)^2+(Results!I103-Results!$D103)^2)</f>
        <v>4.1199910395527324</v>
      </c>
      <c r="C104" s="14"/>
      <c r="D104" s="9">
        <f t="shared" si="6"/>
        <v>34</v>
      </c>
      <c r="E104" s="13">
        <f>SQRT((Results!L103-Results!$B103)^2+(Results!N103-Results!$D103)^2)</f>
        <v>2.5002814766081176</v>
      </c>
      <c r="F104" s="14"/>
      <c r="G104" s="9">
        <f t="shared" si="7"/>
        <v>34</v>
      </c>
      <c r="H104" s="13">
        <f>SQRT((Results!Q103-Results!$B103)^2+(Results!S103-Results!$D103)^2)</f>
        <v>2.1299909007674844</v>
      </c>
      <c r="I104" s="14"/>
      <c r="J104" s="9">
        <f t="shared" si="8"/>
        <v>34</v>
      </c>
      <c r="K104" s="13">
        <f>SQRT((Results!V103-Results!$B103)^2+(Results!X103-Results!$D103)^2)</f>
        <v>1.9662973533305814</v>
      </c>
    </row>
    <row r="105" spans="1:11" x14ac:dyDescent="0.2">
      <c r="A105" s="9">
        <f>Results!F104</f>
        <v>34.5</v>
      </c>
      <c r="B105" s="13">
        <f>SQRT((Results!G104-Results!$B104)^2+(Results!I104-Results!$D104)^2)</f>
        <v>4.2099166675677999</v>
      </c>
      <c r="C105" s="14"/>
      <c r="D105" s="9">
        <f t="shared" si="6"/>
        <v>34.5</v>
      </c>
      <c r="E105" s="13">
        <f>SQRT((Results!L104-Results!$B104)^2+(Results!N104-Results!$D104)^2)</f>
        <v>2.544772918467086</v>
      </c>
      <c r="F105" s="14"/>
      <c r="G105" s="9">
        <f t="shared" si="7"/>
        <v>34.5</v>
      </c>
      <c r="H105" s="13">
        <f>SQRT((Results!Q104-Results!$B104)^2+(Results!S104-Results!$D104)^2)</f>
        <v>2.1659234801992731</v>
      </c>
      <c r="I105" s="14"/>
      <c r="J105" s="9">
        <f t="shared" si="8"/>
        <v>34.5</v>
      </c>
      <c r="K105" s="13">
        <f>SQRT((Results!V104-Results!$B104)^2+(Results!X104-Results!$D104)^2)</f>
        <v>1.9986123705602985</v>
      </c>
    </row>
    <row r="106" spans="1:11" x14ac:dyDescent="0.2">
      <c r="A106" s="9">
        <f>Results!F105</f>
        <v>35</v>
      </c>
      <c r="B106" s="13">
        <f>SQRT((Results!G105-Results!$B105)^2+(Results!I105-Results!$D105)^2)</f>
        <v>4.3002322970472608</v>
      </c>
      <c r="C106" s="14"/>
      <c r="D106" s="9">
        <f t="shared" si="6"/>
        <v>35</v>
      </c>
      <c r="E106" s="13">
        <f>SQRT((Results!L105-Results!$B105)^2+(Results!N105-Results!$D105)^2)</f>
        <v>2.5893020876806032</v>
      </c>
      <c r="F106" s="14"/>
      <c r="G106" s="9">
        <f t="shared" si="7"/>
        <v>35</v>
      </c>
      <c r="H106" s="13">
        <f>SQRT((Results!Q105-Results!$B105)^2+(Results!S105-Results!$D105)^2)</f>
        <v>2.2018704215618188</v>
      </c>
      <c r="I106" s="14"/>
      <c r="J106" s="9">
        <f t="shared" si="8"/>
        <v>35</v>
      </c>
      <c r="K106" s="13">
        <f>SQRT((Results!V105-Results!$B105)^2+(Results!X105-Results!$D105)^2)</f>
        <v>2.030935095202103</v>
      </c>
    </row>
    <row r="107" spans="1:11" x14ac:dyDescent="0.2">
      <c r="A107" s="9">
        <f>Results!F106</f>
        <v>35.5</v>
      </c>
      <c r="B107" s="13">
        <f>SQRT((Results!G106-Results!$B106)^2+(Results!I106-Results!$D106)^2)</f>
        <v>4.3909271412999562</v>
      </c>
      <c r="C107" s="14"/>
      <c r="D107" s="9">
        <f t="shared" si="6"/>
        <v>35.5</v>
      </c>
      <c r="E107" s="13">
        <f>SQRT((Results!L106-Results!$B106)^2+(Results!N106-Results!$D106)^2)</f>
        <v>2.6338682268226665</v>
      </c>
      <c r="F107" s="14"/>
      <c r="G107" s="9">
        <f t="shared" si="7"/>
        <v>35.5</v>
      </c>
      <c r="H107" s="13">
        <f>SQRT((Results!Q106-Results!$B106)^2+(Results!S106-Results!$D106)^2)</f>
        <v>2.2378315894757601</v>
      </c>
      <c r="I107" s="14"/>
      <c r="J107" s="9">
        <f t="shared" si="8"/>
        <v>35.5</v>
      </c>
      <c r="K107" s="13">
        <f>SQRT((Results!V106-Results!$B106)^2+(Results!X106-Results!$D106)^2)</f>
        <v>2.0632654949856573</v>
      </c>
    </row>
    <row r="108" spans="1:11" x14ac:dyDescent="0.2">
      <c r="A108" s="9">
        <f>Results!F107</f>
        <v>36</v>
      </c>
      <c r="B108" s="13">
        <f>SQRT((Results!G107-Results!$B107)^2+(Results!I107-Results!$D107)^2)</f>
        <v>4.4819904850556105</v>
      </c>
      <c r="C108" s="14"/>
      <c r="D108" s="9">
        <f t="shared" si="6"/>
        <v>36</v>
      </c>
      <c r="E108" s="13">
        <f>SQRT((Results!L107-Results!$B107)^2+(Results!N107-Results!$D107)^2)</f>
        <v>2.6784706097014879</v>
      </c>
      <c r="F108" s="14"/>
      <c r="G108" s="9">
        <f t="shared" si="7"/>
        <v>36</v>
      </c>
      <c r="H108" s="13">
        <f>SQRT((Results!Q107-Results!$B107)^2+(Results!S107-Results!$D107)^2)</f>
        <v>2.2738068541749104</v>
      </c>
      <c r="I108" s="14"/>
      <c r="J108" s="9">
        <f t="shared" si="8"/>
        <v>36</v>
      </c>
      <c r="K108" s="13">
        <f>SQRT((Results!V107-Results!$B107)^2+(Results!X107-Results!$D107)^2)</f>
        <v>2.0956035388049368</v>
      </c>
    </row>
    <row r="109" spans="1:11" x14ac:dyDescent="0.2">
      <c r="A109" s="9">
        <f>Results!F108</f>
        <v>36.5</v>
      </c>
      <c r="B109" s="13">
        <f>SQRT((Results!G108-Results!$B108)^2+(Results!I108-Results!$D108)^2)</f>
        <v>4.573411663741525</v>
      </c>
      <c r="C109" s="14"/>
      <c r="D109" s="9">
        <f t="shared" si="6"/>
        <v>36.5</v>
      </c>
      <c r="E109" s="13">
        <f>SQRT((Results!L108-Results!$B108)^2+(Results!N108-Results!$D108)^2)</f>
        <v>2.7231085349982922</v>
      </c>
      <c r="F109" s="14"/>
      <c r="G109" s="9">
        <f t="shared" si="7"/>
        <v>36.5</v>
      </c>
      <c r="H109" s="13">
        <f>SQRT((Results!Q108-Results!$B108)^2+(Results!S108-Results!$D108)^2)</f>
        <v>2.3097960894380019</v>
      </c>
      <c r="I109" s="14"/>
      <c r="J109" s="9">
        <f t="shared" si="8"/>
        <v>36.5</v>
      </c>
      <c r="K109" s="13">
        <f>SQRT((Results!V108-Results!$B108)^2+(Results!X108-Results!$D108)^2)</f>
        <v>2.1279491959498098</v>
      </c>
    </row>
    <row r="110" spans="1:11" x14ac:dyDescent="0.2">
      <c r="A110" s="9">
        <f>Results!F109</f>
        <v>37</v>
      </c>
      <c r="B110" s="13">
        <f>SQRT((Results!G109-Results!$B109)^2+(Results!I109-Results!$D109)^2)</f>
        <v>4.6651800430254058</v>
      </c>
      <c r="C110" s="14"/>
      <c r="D110" s="9">
        <f t="shared" ref="D110:D135" si="9">A110</f>
        <v>37</v>
      </c>
      <c r="E110" s="13">
        <f>SQRT((Results!L109-Results!$B109)^2+(Results!N109-Results!$D109)^2)</f>
        <v>2.7677813201394472</v>
      </c>
      <c r="F110" s="14"/>
      <c r="G110" s="9">
        <f t="shared" ref="G110:G135" si="10">A110</f>
        <v>37</v>
      </c>
      <c r="H110" s="13">
        <f>SQRT((Results!Q109-Results!$B109)^2+(Results!S109-Results!$D109)^2)</f>
        <v>2.3457991705833003</v>
      </c>
      <c r="I110" s="14"/>
      <c r="J110" s="9">
        <f t="shared" ref="J110:J135" si="11">A110</f>
        <v>37</v>
      </c>
      <c r="K110" s="13">
        <f>SQRT((Results!V109-Results!$B109)^2+(Results!X109-Results!$D109)^2)</f>
        <v>2.1603024353455789</v>
      </c>
    </row>
    <row r="111" spans="1:11" x14ac:dyDescent="0.2">
      <c r="A111" s="9">
        <f>Results!F110</f>
        <v>37.5</v>
      </c>
      <c r="B111" s="13">
        <f>SQRT((Results!G110-Results!$B110)^2+(Results!I110-Results!$D110)^2)</f>
        <v>4.7572849985942147</v>
      </c>
      <c r="C111" s="14"/>
      <c r="D111" s="9">
        <f t="shared" si="9"/>
        <v>37.5</v>
      </c>
      <c r="E111" s="13">
        <f>SQRT((Results!L110-Results!$B110)^2+(Results!N110-Results!$D110)^2)</f>
        <v>2.812488295352753</v>
      </c>
      <c r="F111" s="14"/>
      <c r="G111" s="9">
        <f t="shared" si="10"/>
        <v>37.5</v>
      </c>
      <c r="H111" s="13">
        <f>SQRT((Results!Q110-Results!$B110)^2+(Results!S110-Results!$D110)^2)</f>
        <v>2.381815972496979</v>
      </c>
      <c r="I111" s="14"/>
      <c r="J111" s="9">
        <f t="shared" si="11"/>
        <v>37.5</v>
      </c>
      <c r="K111" s="13">
        <f>SQRT((Results!V110-Results!$B110)^2+(Results!X110-Results!$D110)^2)</f>
        <v>2.1926632247846101</v>
      </c>
    </row>
    <row r="112" spans="1:11" x14ac:dyDescent="0.2">
      <c r="A112" s="9">
        <f>Results!F111</f>
        <v>38</v>
      </c>
      <c r="B112" s="13">
        <f>SQRT((Results!G111-Results!$B111)^2+(Results!I111-Results!$D111)^2)</f>
        <v>4.8497158961404772</v>
      </c>
      <c r="C112" s="14"/>
      <c r="D112" s="9">
        <f t="shared" si="9"/>
        <v>38</v>
      </c>
      <c r="E112" s="13">
        <f>SQRT((Results!L111-Results!$B111)^2+(Results!N111-Results!$D111)^2)</f>
        <v>2.8572287978607886</v>
      </c>
      <c r="F112" s="14"/>
      <c r="G112" s="9">
        <f t="shared" si="10"/>
        <v>38</v>
      </c>
      <c r="H112" s="13">
        <f>SQRT((Results!Q111-Results!$B111)^2+(Results!S111-Results!$D111)^2)</f>
        <v>2.41784636766684</v>
      </c>
      <c r="I112" s="14"/>
      <c r="J112" s="9">
        <f t="shared" si="11"/>
        <v>38</v>
      </c>
      <c r="K112" s="13">
        <f>SQRT((Results!V111-Results!$B111)^2+(Results!X111-Results!$D111)^2)</f>
        <v>2.2250315301342405</v>
      </c>
    </row>
    <row r="113" spans="1:11" x14ac:dyDescent="0.2">
      <c r="A113" s="9">
        <f>Results!F112</f>
        <v>38.5</v>
      </c>
      <c r="B113" s="13">
        <f>SQRT((Results!G112-Results!$B112)^2+(Results!I112-Results!$D112)^2)</f>
        <v>4.9424620715288246</v>
      </c>
      <c r="C113" s="14"/>
      <c r="D113" s="9">
        <f t="shared" si="9"/>
        <v>38.5</v>
      </c>
      <c r="E113" s="13">
        <f>SQRT((Results!L112-Results!$B112)^2+(Results!N112-Results!$D112)^2)</f>
        <v>2.9020021661659454</v>
      </c>
      <c r="F113" s="14"/>
      <c r="G113" s="9">
        <f t="shared" si="10"/>
        <v>38.5</v>
      </c>
      <c r="H113" s="13">
        <f>SQRT((Results!Q112-Results!$B112)^2+(Results!S112-Results!$D112)^2)</f>
        <v>2.4538902241933624</v>
      </c>
      <c r="I113" s="14"/>
      <c r="J113" s="9">
        <f t="shared" si="11"/>
        <v>38.5</v>
      </c>
      <c r="K113" s="13">
        <f>SQRT((Results!V112-Results!$B112)^2+(Results!X112-Results!$D112)^2)</f>
        <v>2.2574073145049112</v>
      </c>
    </row>
    <row r="114" spans="1:11" x14ac:dyDescent="0.2">
      <c r="A114" s="9">
        <f>Results!F113</f>
        <v>39</v>
      </c>
      <c r="B114" s="13">
        <f>SQRT((Results!G113-Results!$B113)^2+(Results!I113-Results!$D113)^2)</f>
        <v>5.0355128111172442</v>
      </c>
      <c r="C114" s="14"/>
      <c r="D114" s="9">
        <f t="shared" si="9"/>
        <v>39</v>
      </c>
      <c r="E114" s="13">
        <f>SQRT((Results!L113-Results!$B113)^2+(Results!N113-Results!$D113)^2)</f>
        <v>2.9468077343831904</v>
      </c>
      <c r="F114" s="14"/>
      <c r="G114" s="9">
        <f t="shared" si="10"/>
        <v>39</v>
      </c>
      <c r="H114" s="13">
        <f>SQRT((Results!Q113-Results!$B113)^2+(Results!S113-Results!$D113)^2)</f>
        <v>2.4899474037499818</v>
      </c>
      <c r="I114" s="14"/>
      <c r="J114" s="9">
        <f t="shared" si="11"/>
        <v>39</v>
      </c>
      <c r="K114" s="13">
        <f>SQRT((Results!V113-Results!$B113)^2+(Results!X113-Results!$D113)^2)</f>
        <v>2.2897905373617218</v>
      </c>
    </row>
    <row r="115" spans="1:11" x14ac:dyDescent="0.2">
      <c r="A115" s="9">
        <f>Results!F114</f>
        <v>39.5</v>
      </c>
      <c r="B115" s="13">
        <f>SQRT((Results!G114-Results!$B114)^2+(Results!I114-Results!$D114)^2)</f>
        <v>5.1288573322089359</v>
      </c>
      <c r="C115" s="14"/>
      <c r="D115" s="9">
        <f t="shared" si="9"/>
        <v>39.5</v>
      </c>
      <c r="E115" s="13">
        <f>SQRT((Results!L114-Results!$B114)^2+(Results!N114-Results!$D114)^2)</f>
        <v>2.9916448265777276</v>
      </c>
      <c r="F115" s="14"/>
      <c r="G115" s="9">
        <f t="shared" si="10"/>
        <v>39.5</v>
      </c>
      <c r="H115" s="13">
        <f>SQRT((Results!Q114-Results!$B114)^2+(Results!S114-Results!$D114)^2)</f>
        <v>2.5260177594641053</v>
      </c>
      <c r="I115" s="14"/>
      <c r="J115" s="9">
        <f t="shared" si="11"/>
        <v>39.5</v>
      </c>
      <c r="K115" s="13">
        <f>SQRT((Results!V114-Results!$B114)^2+(Results!X114-Results!$D114)^2)</f>
        <v>2.3221811535613397</v>
      </c>
    </row>
    <row r="116" spans="1:11" x14ac:dyDescent="0.2">
      <c r="A116" s="9">
        <f>Results!F115</f>
        <v>40</v>
      </c>
      <c r="B116" s="13">
        <f>SQRT((Results!G115-Results!$B115)^2+(Results!I115-Results!$D115)^2)</f>
        <v>5.222484763612532</v>
      </c>
      <c r="C116" s="14"/>
      <c r="D116" s="9">
        <f t="shared" si="9"/>
        <v>40</v>
      </c>
      <c r="E116" s="13">
        <f>SQRT((Results!L115-Results!$B115)^2+(Results!N115-Results!$D115)^2)</f>
        <v>3.036512751065592</v>
      </c>
      <c r="F116" s="14"/>
      <c r="G116" s="9">
        <f t="shared" si="10"/>
        <v>40</v>
      </c>
      <c r="H116" s="13">
        <f>SQRT((Results!Q115-Results!$B115)^2+(Results!S115-Results!$D115)^2)</f>
        <v>2.5621011336895596</v>
      </c>
      <c r="I116" s="14"/>
      <c r="J116" s="9">
        <f t="shared" si="11"/>
        <v>40</v>
      </c>
      <c r="K116" s="13">
        <f>SQRT((Results!V115-Results!$B115)^2+(Results!X115-Results!$D115)^2)</f>
        <v>2.354579112294366</v>
      </c>
    </row>
    <row r="117" spans="1:11" x14ac:dyDescent="0.2">
      <c r="A117" s="9">
        <f>Results!F116</f>
        <v>40.5</v>
      </c>
      <c r="B117" s="13">
        <f>SQRT((Results!G116-Results!$B116)^2+(Results!I116-Results!$D116)^2)</f>
        <v>5.3163841262901279</v>
      </c>
      <c r="C117" s="14"/>
      <c r="D117" s="9">
        <f t="shared" si="9"/>
        <v>40.5</v>
      </c>
      <c r="E117" s="13">
        <f>SQRT((Results!L116-Results!$B116)^2+(Results!N116-Results!$D116)^2)</f>
        <v>3.0814107946358256</v>
      </c>
      <c r="F117" s="14"/>
      <c r="G117" s="9">
        <f t="shared" si="10"/>
        <v>40.5</v>
      </c>
      <c r="H117" s="13">
        <f>SQRT((Results!Q116-Results!$B116)^2+(Results!S116-Results!$D116)^2)</f>
        <v>2.5981973556399613</v>
      </c>
      <c r="I117" s="14"/>
      <c r="J117" s="9">
        <f t="shared" si="11"/>
        <v>40.5</v>
      </c>
      <c r="K117" s="13">
        <f>SQRT((Results!V116-Results!$B116)^2+(Results!X116-Results!$D116)^2)</f>
        <v>2.3869843559107276</v>
      </c>
    </row>
    <row r="118" spans="1:11" x14ac:dyDescent="0.2">
      <c r="A118" s="9">
        <f>Results!F117</f>
        <v>41</v>
      </c>
      <c r="B118" s="13">
        <f>SQRT((Results!G117-Results!$B117)^2+(Results!I117-Results!$D117)^2)</f>
        <v>5.4105443140746257</v>
      </c>
      <c r="C118" s="14"/>
      <c r="D118" s="9">
        <f t="shared" si="9"/>
        <v>41</v>
      </c>
      <c r="E118" s="13">
        <f>SQRT((Results!L117-Results!$B117)^2+(Results!N117-Results!$D117)^2)</f>
        <v>3.1263382166532936</v>
      </c>
      <c r="F118" s="14"/>
      <c r="G118" s="9">
        <f t="shared" si="10"/>
        <v>41</v>
      </c>
      <c r="H118" s="13">
        <f>SQRT((Results!Q117-Results!$B117)^2+(Results!S117-Results!$D117)^2)</f>
        <v>2.6343062388509479</v>
      </c>
      <c r="I118" s="14"/>
      <c r="J118" s="9">
        <f t="shared" si="11"/>
        <v>41</v>
      </c>
      <c r="K118" s="13">
        <f>SQRT((Results!V117-Results!$B117)^2+(Results!X117-Results!$D117)^2)</f>
        <v>2.4193968186026038</v>
      </c>
    </row>
    <row r="119" spans="1:11" x14ac:dyDescent="0.2">
      <c r="A119" s="9">
        <f>Results!F118</f>
        <v>41.5</v>
      </c>
      <c r="B119" s="13">
        <f>SQRT((Results!G118-Results!$B118)^2+(Results!I118-Results!$D118)^2)</f>
        <v>5.5049540744399952</v>
      </c>
      <c r="C119" s="14"/>
      <c r="D119" s="9">
        <f t="shared" si="9"/>
        <v>41.5</v>
      </c>
      <c r="E119" s="13">
        <f>SQRT((Results!L118-Results!$B118)^2+(Results!N118-Results!$D118)^2)</f>
        <v>3.1712942430014142</v>
      </c>
      <c r="F119" s="14"/>
      <c r="G119" s="9">
        <f t="shared" si="10"/>
        <v>41.5</v>
      </c>
      <c r="H119" s="13">
        <f>SQRT((Results!Q118-Results!$B118)^2+(Results!S118-Results!$D118)^2)</f>
        <v>2.6704275784371894</v>
      </c>
      <c r="I119" s="14"/>
      <c r="J119" s="9">
        <f t="shared" si="11"/>
        <v>41.5</v>
      </c>
      <c r="K119" s="13">
        <f>SQRT((Results!V118-Results!$B118)^2+(Results!X118-Results!$D118)^2)</f>
        <v>2.4518164249155192</v>
      </c>
    </row>
    <row r="120" spans="1:11" x14ac:dyDescent="0.2">
      <c r="A120" s="9">
        <f>Results!F119</f>
        <v>42</v>
      </c>
      <c r="B120" s="13">
        <f>SQRT((Results!G119-Results!$B119)^2+(Results!I119-Results!$D119)^2)</f>
        <v>5.5996019893104219</v>
      </c>
      <c r="C120" s="14"/>
      <c r="D120" s="9">
        <f t="shared" si="9"/>
        <v>42</v>
      </c>
      <c r="E120" s="13">
        <f>SQRT((Results!L119-Results!$B119)^2+(Results!N119-Results!$D119)^2)</f>
        <v>3.2162780598240905</v>
      </c>
      <c r="F120" s="14"/>
      <c r="G120" s="9">
        <f t="shared" si="10"/>
        <v>42</v>
      </c>
      <c r="H120" s="13">
        <f>SQRT((Results!Q119-Results!$B119)^2+(Results!S119-Results!$D119)^2)</f>
        <v>2.7065611481076979</v>
      </c>
      <c r="I120" s="14"/>
      <c r="J120" s="9">
        <f t="shared" si="11"/>
        <v>42</v>
      </c>
      <c r="K120" s="13">
        <f>SQRT((Results!V119-Results!$B119)^2+(Results!X119-Results!$D119)^2)</f>
        <v>2.4842430880538919</v>
      </c>
    </row>
    <row r="121" spans="1:11" x14ac:dyDescent="0.2">
      <c r="A121" s="9">
        <f>Results!F120</f>
        <v>42.5</v>
      </c>
      <c r="B121" s="13">
        <f>SQRT((Results!G120-Results!$B120)^2+(Results!I120-Results!$D120)^2)</f>
        <v>5.694476455896992</v>
      </c>
      <c r="C121" s="14"/>
      <c r="D121" s="9">
        <f t="shared" si="9"/>
        <v>42.5</v>
      </c>
      <c r="E121" s="13">
        <f>SQRT((Results!L120-Results!$B120)^2+(Results!N120-Results!$D120)^2)</f>
        <v>3.2612888070260881</v>
      </c>
      <c r="F121" s="14"/>
      <c r="G121" s="9">
        <f t="shared" si="10"/>
        <v>42.5</v>
      </c>
      <c r="H121" s="13">
        <f>SQRT((Results!Q120-Results!$B120)^2+(Results!S120-Results!$D120)^2)</f>
        <v>2.7427066969000977</v>
      </c>
      <c r="I121" s="14"/>
      <c r="J121" s="9">
        <f t="shared" si="11"/>
        <v>42.5</v>
      </c>
      <c r="K121" s="13">
        <f>SQRT((Results!V120-Results!$B120)^2+(Results!X120-Results!$D120)^2)</f>
        <v>2.5166767079422629</v>
      </c>
    </row>
    <row r="122" spans="1:11" x14ac:dyDescent="0.2">
      <c r="A122" s="9">
        <f>Results!F121</f>
        <v>43</v>
      </c>
      <c r="B122" s="13">
        <f>SQRT((Results!G121-Results!$B121)^2+(Results!I121-Results!$D121)^2)</f>
        <v>5.7895656675534299</v>
      </c>
      <c r="C122" s="14"/>
      <c r="D122" s="9">
        <f t="shared" si="9"/>
        <v>43</v>
      </c>
      <c r="E122" s="13">
        <f>SQRT((Results!L121-Results!$B121)^2+(Results!N121-Results!$D121)^2)</f>
        <v>3.3063255714908402</v>
      </c>
      <c r="F122" s="14"/>
      <c r="G122" s="9">
        <f t="shared" si="10"/>
        <v>43</v>
      </c>
      <c r="H122" s="13">
        <f>SQRT((Results!Q121-Results!$B121)^2+(Results!S121-Results!$D121)^2)</f>
        <v>2.7788639455911821</v>
      </c>
      <c r="I122" s="14"/>
      <c r="J122" s="9">
        <f t="shared" si="11"/>
        <v>43</v>
      </c>
      <c r="K122" s="13">
        <f>SQRT((Results!V121-Results!$B121)^2+(Results!X121-Results!$D121)^2)</f>
        <v>2.5491171689978271</v>
      </c>
    </row>
    <row r="123" spans="1:11" x14ac:dyDescent="0.2">
      <c r="A123" s="9">
        <f>Results!F122</f>
        <v>43.5</v>
      </c>
      <c r="B123" s="13">
        <f>SQRT((Results!G122-Results!$B122)^2+(Results!I122-Results!$D122)^2)</f>
        <v>5.8848575946458102</v>
      </c>
      <c r="C123" s="14"/>
      <c r="D123" s="9">
        <f t="shared" si="9"/>
        <v>43.5</v>
      </c>
      <c r="E123" s="13">
        <f>SQRT((Results!L122-Results!$B122)^2+(Results!N122-Results!$D122)^2)</f>
        <v>3.3513873799744203</v>
      </c>
      <c r="F123" s="14"/>
      <c r="G123" s="9">
        <f t="shared" si="10"/>
        <v>43.5</v>
      </c>
      <c r="H123" s="13">
        <f>SQRT((Results!Q122-Results!$B122)^2+(Results!S122-Results!$D122)^2)</f>
        <v>2.8150325827372282</v>
      </c>
      <c r="I123" s="14"/>
      <c r="J123" s="9">
        <f t="shared" si="11"/>
        <v>43.5</v>
      </c>
      <c r="K123" s="13">
        <f>SQRT((Results!V122-Results!$B122)^2+(Results!X122-Results!$D122)^2)</f>
        <v>2.5815643375636479</v>
      </c>
    </row>
    <row r="124" spans="1:11" x14ac:dyDescent="0.2">
      <c r="A124" s="9">
        <f>Results!F123</f>
        <v>44</v>
      </c>
      <c r="B124" s="13">
        <f>SQRT((Results!G123-Results!$B123)^2+(Results!I123-Results!$D123)^2)</f>
        <v>5.9803399654348377</v>
      </c>
      <c r="C124" s="14"/>
      <c r="D124" s="9">
        <f t="shared" si="9"/>
        <v>44</v>
      </c>
      <c r="E124" s="13">
        <f>SQRT((Results!L123-Results!$B123)^2+(Results!N123-Results!$D123)^2)</f>
        <v>3.3964731916341049</v>
      </c>
      <c r="F124" s="14"/>
      <c r="G124" s="9">
        <f t="shared" si="10"/>
        <v>44</v>
      </c>
      <c r="H124" s="13">
        <f>SQRT((Results!Q123-Results!$B123)^2+(Results!S123-Results!$D123)^2)</f>
        <v>2.8512122602932157</v>
      </c>
      <c r="I124" s="14"/>
      <c r="J124" s="9">
        <f t="shared" si="11"/>
        <v>44</v>
      </c>
      <c r="K124" s="13">
        <f>SQRT((Results!V123-Results!$B123)^2+(Results!X123-Results!$D123)^2)</f>
        <v>2.6140180589448874</v>
      </c>
    </row>
    <row r="125" spans="1:11" x14ac:dyDescent="0.2">
      <c r="A125" s="9">
        <f>Results!F124</f>
        <v>44.5</v>
      </c>
      <c r="B125" s="13">
        <f>SQRT((Results!G124-Results!$B124)^2+(Results!I124-Results!$D124)^2)</f>
        <v>6.0760002469736136</v>
      </c>
      <c r="C125" s="14"/>
      <c r="D125" s="9">
        <f t="shared" si="9"/>
        <v>44.5</v>
      </c>
      <c r="E125" s="13">
        <f>SQRT((Results!L124-Results!$B124)^2+(Results!N124-Results!$D124)^2)</f>
        <v>3.4415818901496338</v>
      </c>
      <c r="F125" s="14"/>
      <c r="G125" s="9">
        <f t="shared" si="10"/>
        <v>44.5</v>
      </c>
      <c r="H125" s="13">
        <f>SQRT((Results!Q124-Results!$B124)^2+(Results!S124-Results!$D124)^2)</f>
        <v>2.8874025887550689</v>
      </c>
      <c r="I125" s="14"/>
      <c r="J125" s="9">
        <f t="shared" si="11"/>
        <v>44.5</v>
      </c>
      <c r="K125" s="13">
        <f>SQRT((Results!V124-Results!$B124)^2+(Results!X124-Results!$D124)^2)</f>
        <v>2.6464781539824624</v>
      </c>
    </row>
    <row r="126" spans="1:11" x14ac:dyDescent="0.2">
      <c r="A126" s="9">
        <f>Results!F125</f>
        <v>45</v>
      </c>
      <c r="B126" s="13">
        <f>SQRT((Results!G125-Results!$B125)^2+(Results!I125-Results!$D125)^2)</f>
        <v>6.1718256260286495</v>
      </c>
      <c r="C126" s="14"/>
      <c r="D126" s="9">
        <f t="shared" si="9"/>
        <v>45</v>
      </c>
      <c r="E126" s="13">
        <f>SQRT((Results!L125-Results!$B125)^2+(Results!N125-Results!$D125)^2)</f>
        <v>3.486712275395063</v>
      </c>
      <c r="F126" s="14"/>
      <c r="G126" s="9">
        <f t="shared" si="10"/>
        <v>45</v>
      </c>
      <c r="H126" s="13">
        <f>SQRT((Results!Q125-Results!$B125)^2+(Results!S125-Results!$D125)^2)</f>
        <v>2.9236031317635316</v>
      </c>
      <c r="I126" s="14"/>
      <c r="J126" s="9">
        <f t="shared" si="11"/>
        <v>45</v>
      </c>
      <c r="K126" s="13">
        <f>SQRT((Results!V125-Results!$B125)^2+(Results!X125-Results!$D125)^2)</f>
        <v>2.6789444150892798</v>
      </c>
    </row>
    <row r="127" spans="1:11" x14ac:dyDescent="0.2">
      <c r="A127" s="9">
        <f>Results!F126</f>
        <v>45.5</v>
      </c>
      <c r="B127" s="13">
        <f>SQRT((Results!G126-Results!$B126)^2+(Results!I126-Results!$D126)^2)</f>
        <v>6.267802990037481</v>
      </c>
      <c r="C127" s="14"/>
      <c r="D127" s="9">
        <f t="shared" si="9"/>
        <v>45.5</v>
      </c>
      <c r="E127" s="13">
        <f>SQRT((Results!L126-Results!$B126)^2+(Results!N126-Results!$D126)^2)</f>
        <v>3.5318630546190044</v>
      </c>
      <c r="F127" s="14"/>
      <c r="G127" s="9">
        <f t="shared" si="10"/>
        <v>45.5</v>
      </c>
      <c r="H127" s="13">
        <f>SQRT((Results!Q126-Results!$B126)^2+(Results!S126-Results!$D126)^2)</f>
        <v>2.9598134001019698</v>
      </c>
      <c r="I127" s="14"/>
      <c r="J127" s="9">
        <f t="shared" si="11"/>
        <v>45.5</v>
      </c>
      <c r="K127" s="13">
        <f>SQRT((Results!V126-Results!$B126)^2+(Results!X126-Results!$D126)^2)</f>
        <v>2.7114166016634287</v>
      </c>
    </row>
    <row r="128" spans="1:11" x14ac:dyDescent="0.2">
      <c r="A128" s="9">
        <f>Results!F127</f>
        <v>46</v>
      </c>
      <c r="B128" s="13">
        <f>SQRT((Results!G127-Results!$B127)^2+(Results!I127-Results!$D127)^2)</f>
        <v>6.3639189081226064</v>
      </c>
      <c r="C128" s="14"/>
      <c r="D128" s="9">
        <f t="shared" si="9"/>
        <v>46</v>
      </c>
      <c r="E128" s="13">
        <f>SQRT((Results!L127-Results!$B127)^2+(Results!N127-Results!$D127)^2)</f>
        <v>3.5770328330911099</v>
      </c>
      <c r="F128" s="14"/>
      <c r="G128" s="9">
        <f t="shared" si="10"/>
        <v>46</v>
      </c>
      <c r="H128" s="13">
        <f>SQRT((Results!Q127-Results!$B127)^2+(Results!S127-Results!$D127)^2)</f>
        <v>2.9960328450134535</v>
      </c>
      <c r="I128" s="14"/>
      <c r="J128" s="9">
        <f t="shared" si="11"/>
        <v>46</v>
      </c>
      <c r="K128" s="13">
        <f>SQRT((Results!V127-Results!$B127)^2+(Results!X127-Results!$D127)^2)</f>
        <v>2.7438944347799308</v>
      </c>
    </row>
    <row r="129" spans="1:11" x14ac:dyDescent="0.2">
      <c r="A129" s="9">
        <f>Results!F128</f>
        <v>46.5</v>
      </c>
      <c r="B129" s="13">
        <f>SQRT((Results!G128-Results!$B128)^2+(Results!I128-Results!$D128)^2)</f>
        <v>6.4601596121888694</v>
      </c>
      <c r="C129" s="14"/>
      <c r="D129" s="9">
        <f t="shared" si="9"/>
        <v>46.5</v>
      </c>
      <c r="E129" s="13">
        <f>SQRT((Results!L128-Results!$B128)^2+(Results!N128-Results!$D128)^2)</f>
        <v>3.6222201041731044</v>
      </c>
      <c r="F129" s="14"/>
      <c r="G129" s="9">
        <f t="shared" si="10"/>
        <v>46.5</v>
      </c>
      <c r="H129" s="13">
        <f>SQRT((Results!Q128-Results!$B128)^2+(Results!S128-Results!$D128)^2)</f>
        <v>3.032260850754668</v>
      </c>
      <c r="I129" s="14"/>
      <c r="J129" s="9">
        <f t="shared" si="11"/>
        <v>46.5</v>
      </c>
      <c r="K129" s="13">
        <f>SQRT((Results!V128-Results!$B128)^2+(Results!X128-Results!$D128)^2)</f>
        <v>2.7763775910475332</v>
      </c>
    </row>
    <row r="130" spans="1:11" x14ac:dyDescent="0.2">
      <c r="A130" s="9">
        <f>Results!F129</f>
        <v>47</v>
      </c>
      <c r="B130" s="13">
        <f>SQRT((Results!G129-Results!$B129)^2+(Results!I129-Results!$D129)^2)</f>
        <v>6.5565109781398512</v>
      </c>
      <c r="C130" s="14"/>
      <c r="D130" s="9">
        <f t="shared" si="9"/>
        <v>47</v>
      </c>
      <c r="E130" s="13">
        <f>SQRT((Results!L129-Results!$B129)^2+(Results!N129-Results!$D129)^2)</f>
        <v>3.667423238773408</v>
      </c>
      <c r="F130" s="14"/>
      <c r="G130" s="9">
        <f t="shared" si="10"/>
        <v>47</v>
      </c>
      <c r="H130" s="13">
        <f>SQRT((Results!Q129-Results!$B129)^2+(Results!S129-Results!$D129)^2)</f>
        <v>3.0684967262955789</v>
      </c>
      <c r="I130" s="14"/>
      <c r="J130" s="9">
        <f t="shared" si="11"/>
        <v>47</v>
      </c>
      <c r="K130" s="13">
        <f>SQRT((Results!V129-Results!$B129)^2+(Results!X129-Results!$D129)^2)</f>
        <v>2.8088656954991635</v>
      </c>
    </row>
    <row r="131" spans="1:11" x14ac:dyDescent="0.2">
      <c r="A131" s="9">
        <f>Results!F130</f>
        <v>47.5</v>
      </c>
      <c r="B131" s="13">
        <f>SQRT((Results!G130-Results!$B130)^2+(Results!I130-Results!$D130)^2)</f>
        <v>6.6529585072586075</v>
      </c>
      <c r="C131" s="14"/>
      <c r="D131" s="9">
        <f t="shared" si="9"/>
        <v>47.5</v>
      </c>
      <c r="E131" s="13">
        <f>SQRT((Results!L130-Results!$B130)^2+(Results!N130-Results!$D130)^2)</f>
        <v>3.7126404741457173</v>
      </c>
      <c r="F131" s="14"/>
      <c r="G131" s="9">
        <f t="shared" si="10"/>
        <v>47.5</v>
      </c>
      <c r="H131" s="13">
        <f>SQRT((Results!Q130-Results!$B130)^2+(Results!S130-Results!$D130)^2)</f>
        <v>3.1047396960642084</v>
      </c>
      <c r="I131" s="14"/>
      <c r="J131" s="9">
        <f t="shared" si="11"/>
        <v>47.5</v>
      </c>
      <c r="K131" s="13">
        <f>SQRT((Results!V130-Results!$B130)^2+(Results!X130-Results!$D130)^2)</f>
        <v>2.8413583133637208</v>
      </c>
    </row>
    <row r="132" spans="1:11" x14ac:dyDescent="0.2">
      <c r="A132" s="9">
        <f>Results!F131</f>
        <v>48</v>
      </c>
      <c r="B132" s="13">
        <f>SQRT((Results!G131-Results!$B131)^2+(Results!I131-Results!$D131)^2)</f>
        <v>6.7494873078093898</v>
      </c>
      <c r="C132" s="14"/>
      <c r="D132" s="9">
        <f t="shared" si="9"/>
        <v>48</v>
      </c>
      <c r="E132" s="13">
        <f>SQRT((Results!L131-Results!$B131)^2+(Results!N131-Results!$D131)^2)</f>
        <v>3.7578699019938528</v>
      </c>
      <c r="F132" s="14"/>
      <c r="G132" s="9">
        <f t="shared" si="10"/>
        <v>48</v>
      </c>
      <c r="H132" s="13">
        <f>SQRT((Results!Q131-Results!$B131)^2+(Results!S131-Results!$D131)^2)</f>
        <v>3.1409888896253535</v>
      </c>
      <c r="I132" s="14"/>
      <c r="J132" s="9">
        <f t="shared" si="11"/>
        <v>48</v>
      </c>
      <c r="K132" s="13">
        <f>SQRT((Results!V131-Results!$B131)^2+(Results!X131-Results!$D131)^2)</f>
        <v>2.8738549405424725</v>
      </c>
    </row>
    <row r="133" spans="1:11" x14ac:dyDescent="0.2">
      <c r="A133" s="9">
        <f>Results!F132</f>
        <v>48.5</v>
      </c>
      <c r="B133" s="13">
        <f>SQRT((Results!G132-Results!$B132)^2+(Results!I132-Results!$D132)^2)</f>
        <v>6.8460820769300232</v>
      </c>
      <c r="C133" s="14"/>
      <c r="D133" s="9">
        <f t="shared" si="9"/>
        <v>48.5</v>
      </c>
      <c r="E133" s="13">
        <f>SQRT((Results!L132-Results!$B132)^2+(Results!N132-Results!$D132)^2)</f>
        <v>3.8031094558479754</v>
      </c>
      <c r="F133" s="14"/>
      <c r="G133" s="9">
        <f t="shared" si="10"/>
        <v>48.5</v>
      </c>
      <c r="H133" s="13">
        <f>SQRT((Results!Q132-Results!$B132)^2+(Results!S132-Results!$D132)^2)</f>
        <v>3.1772433301703931</v>
      </c>
      <c r="I133" s="14"/>
      <c r="J133" s="9">
        <f t="shared" si="11"/>
        <v>48.5</v>
      </c>
      <c r="K133" s="13">
        <f>SQRT((Results!V132-Results!$B132)^2+(Results!X132-Results!$D132)^2)</f>
        <v>2.9063549925849888</v>
      </c>
    </row>
    <row r="134" spans="1:11" x14ac:dyDescent="0.2">
      <c r="A134" s="9">
        <f>Results!F133</f>
        <v>49</v>
      </c>
      <c r="B134" s="13">
        <f>SQRT((Results!G133-Results!$B133)^2+(Results!I133-Results!$D133)^2)</f>
        <v>6.9427270828996122</v>
      </c>
      <c r="C134" s="14"/>
      <c r="D134" s="9">
        <f t="shared" si="9"/>
        <v>49</v>
      </c>
      <c r="E134" s="13">
        <f>SQRT((Results!L133-Results!$B133)^2+(Results!N133-Results!$D133)^2)</f>
        <v>3.8483568976810987</v>
      </c>
      <c r="F134" s="14"/>
      <c r="G134" s="9">
        <f t="shared" si="10"/>
        <v>49</v>
      </c>
      <c r="H134" s="13">
        <f>SQRT((Results!Q133-Results!$B133)^2+(Results!S133-Results!$D133)^2)</f>
        <v>3.2135019216825707</v>
      </c>
      <c r="I134" s="14"/>
      <c r="J134" s="9">
        <f t="shared" si="11"/>
        <v>49</v>
      </c>
      <c r="K134" s="13">
        <f>SQRT((Results!V133-Results!$B133)^2+(Results!X133-Results!$D133)^2)</f>
        <v>2.9388577919268042</v>
      </c>
    </row>
    <row r="135" spans="1:11" x14ac:dyDescent="0.2">
      <c r="A135" s="9">
        <f>Results!F134</f>
        <v>49.5</v>
      </c>
      <c r="B135" s="13">
        <f>SQRT((Results!G134-Results!$B134)^2+(Results!I134-Results!$D134)^2)</f>
        <v>7.0394061478838417</v>
      </c>
      <c r="C135" s="14"/>
      <c r="D135" s="9">
        <f t="shared" si="9"/>
        <v>49.5</v>
      </c>
      <c r="E135" s="13">
        <f>SQRT((Results!L134-Results!$B134)^2+(Results!N134-Results!$D134)^2)</f>
        <v>3.8936098037398734</v>
      </c>
      <c r="F135" s="14"/>
      <c r="G135" s="9">
        <f t="shared" si="10"/>
        <v>49.5</v>
      </c>
      <c r="H135" s="13">
        <f>SQRT((Results!Q134-Results!$B134)^2+(Results!S134-Results!$D134)^2)</f>
        <v>3.2497634346280937</v>
      </c>
      <c r="I135" s="14"/>
      <c r="J135" s="9">
        <f t="shared" si="11"/>
        <v>49.5</v>
      </c>
      <c r="K135" s="13">
        <f>SQRT((Results!V134-Results!$B134)^2+(Results!X134-Results!$D134)^2)</f>
        <v>2.9713625531131793</v>
      </c>
    </row>
    <row r="136" spans="1:11" ht="13.5" thickBot="1" x14ac:dyDescent="0.25">
      <c r="A136" s="9">
        <f>Results!F135</f>
        <v>50</v>
      </c>
      <c r="B136" s="13">
        <f>SQRT((Results!G135-Results!$B135)^2+(Results!I135-Results!$D135)^2)</f>
        <v>7.1361026312800799</v>
      </c>
      <c r="C136" s="14"/>
      <c r="D136" s="9">
        <f>A136</f>
        <v>50</v>
      </c>
      <c r="E136" s="13">
        <f>SQRT((Results!L135-Results!$B135)^2+(Results!N135-Results!$D135)^2)</f>
        <v>3.9388655495702927</v>
      </c>
      <c r="F136" s="14"/>
      <c r="G136" s="9">
        <f>A136</f>
        <v>50</v>
      </c>
      <c r="H136" s="13">
        <f>SQRT((Results!Q135-Results!$B135)^2+(Results!S135-Results!$D135)^2)</f>
        <v>3.2860264900079885</v>
      </c>
      <c r="I136" s="14"/>
      <c r="J136" s="9">
        <f>A136</f>
        <v>50</v>
      </c>
      <c r="K136" s="13">
        <f>SQRT((Results!V135-Results!$B135)^2+(Results!X135-Results!$D135)^2)</f>
        <v>3.0038683656895349</v>
      </c>
    </row>
    <row r="137" spans="1:11" ht="13.5" thickBot="1" x14ac:dyDescent="0.25">
      <c r="A137" s="86"/>
      <c r="B137" s="87"/>
      <c r="C137" s="87"/>
      <c r="D137" s="87"/>
      <c r="E137" s="87"/>
      <c r="F137" s="87"/>
      <c r="G137" s="87"/>
      <c r="H137" s="87"/>
      <c r="I137" s="87"/>
      <c r="J137" s="87"/>
      <c r="K137" s="88"/>
    </row>
    <row r="138" spans="1:11" x14ac:dyDescent="0.2">
      <c r="A138" s="84"/>
      <c r="B138" s="85"/>
      <c r="C138" s="14"/>
      <c r="D138" s="84"/>
      <c r="E138" s="85"/>
      <c r="F138" s="14"/>
      <c r="G138" s="84"/>
      <c r="H138" s="85"/>
      <c r="I138" s="14"/>
      <c r="J138" s="84"/>
      <c r="K138" s="8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17"/>
  <sheetViews>
    <sheetView topLeftCell="B1" workbookViewId="0">
      <selection activeCell="F16" sqref="F16"/>
    </sheetView>
  </sheetViews>
  <sheetFormatPr defaultRowHeight="20.100000000000001" customHeight="1" x14ac:dyDescent="0.2"/>
  <cols>
    <col min="1" max="1" width="9.140625" style="58"/>
    <col min="2" max="2" width="10.7109375" style="58" customWidth="1"/>
    <col min="3" max="3" width="16.7109375" style="58" customWidth="1"/>
    <col min="4" max="4" width="11.7109375" style="58" customWidth="1"/>
    <col min="5" max="5" width="21.42578125" style="58" customWidth="1"/>
    <col min="6" max="6" width="24.5703125" style="58" customWidth="1"/>
    <col min="7" max="7" width="21" style="58" customWidth="1"/>
    <col min="8" max="8" width="62.7109375" style="58" customWidth="1"/>
    <col min="9" max="16384" width="9.140625" style="58"/>
  </cols>
  <sheetData>
    <row r="1" spans="2:8" ht="13.5" thickBot="1" x14ac:dyDescent="0.25"/>
    <row r="2" spans="2:8" ht="16.5" thickBot="1" x14ac:dyDescent="0.25">
      <c r="B2" s="59" t="s">
        <v>125</v>
      </c>
      <c r="C2" s="60" t="s">
        <v>126</v>
      </c>
      <c r="D2" s="60" t="s">
        <v>127</v>
      </c>
      <c r="E2" s="60" t="s">
        <v>128</v>
      </c>
      <c r="F2" s="60" t="s">
        <v>129</v>
      </c>
      <c r="G2" s="60" t="s">
        <v>130</v>
      </c>
      <c r="H2" s="61" t="s">
        <v>144</v>
      </c>
    </row>
    <row r="3" spans="2:8" ht="24" customHeight="1" x14ac:dyDescent="0.2">
      <c r="B3" s="62">
        <v>0</v>
      </c>
      <c r="C3" s="63" t="s">
        <v>131</v>
      </c>
      <c r="D3" s="64"/>
      <c r="E3" s="63" t="s">
        <v>132</v>
      </c>
      <c r="F3" s="63"/>
      <c r="G3" s="63"/>
      <c r="H3" s="65" t="s">
        <v>133</v>
      </c>
    </row>
    <row r="4" spans="2:8" ht="12.75" x14ac:dyDescent="0.2">
      <c r="B4" s="66">
        <v>1</v>
      </c>
      <c r="C4" s="67" t="s">
        <v>143</v>
      </c>
      <c r="D4" s="68">
        <v>42816</v>
      </c>
      <c r="E4" s="67" t="s">
        <v>132</v>
      </c>
      <c r="F4" s="69"/>
      <c r="G4" s="67"/>
      <c r="H4" s="70"/>
    </row>
    <row r="5" spans="2:8" ht="12.75" x14ac:dyDescent="0.2">
      <c r="B5" s="71">
        <v>2</v>
      </c>
      <c r="C5" s="67" t="s">
        <v>143</v>
      </c>
      <c r="D5" s="72">
        <v>42825</v>
      </c>
      <c r="E5" s="73" t="s">
        <v>132</v>
      </c>
      <c r="F5" s="74"/>
      <c r="G5" s="74"/>
      <c r="H5" s="75"/>
    </row>
    <row r="6" spans="2:8" ht="12.75" x14ac:dyDescent="0.2">
      <c r="B6" s="66"/>
      <c r="C6" s="76"/>
      <c r="D6" s="76"/>
      <c r="E6" s="76"/>
      <c r="F6" s="76"/>
      <c r="G6" s="76"/>
      <c r="H6" s="77"/>
    </row>
    <row r="7" spans="2:8" ht="12.75" x14ac:dyDescent="0.2">
      <c r="B7" s="66"/>
      <c r="C7" s="76"/>
      <c r="D7" s="76"/>
      <c r="E7" s="76"/>
      <c r="F7" s="76"/>
      <c r="G7" s="76"/>
      <c r="H7" s="78"/>
    </row>
    <row r="8" spans="2:8" ht="12.75" x14ac:dyDescent="0.2">
      <c r="B8" s="66"/>
      <c r="C8" s="76"/>
      <c r="D8" s="76"/>
      <c r="E8" s="76"/>
      <c r="F8" s="76"/>
      <c r="G8" s="76"/>
      <c r="H8" s="78"/>
    </row>
    <row r="9" spans="2:8" ht="12.75" x14ac:dyDescent="0.2">
      <c r="B9" s="66"/>
      <c r="C9" s="76"/>
      <c r="D9" s="76"/>
      <c r="E9" s="76"/>
      <c r="F9" s="76"/>
      <c r="G9" s="76"/>
      <c r="H9" s="78"/>
    </row>
    <row r="10" spans="2:8" ht="12.75" x14ac:dyDescent="0.2">
      <c r="B10" s="66"/>
      <c r="C10" s="76"/>
      <c r="D10" s="76"/>
      <c r="E10" s="76"/>
      <c r="F10" s="76"/>
      <c r="G10" s="76"/>
      <c r="H10" s="78"/>
    </row>
    <row r="11" spans="2:8" ht="12.75" x14ac:dyDescent="0.2">
      <c r="B11" s="66"/>
      <c r="C11" s="76"/>
      <c r="D11" s="76"/>
      <c r="E11" s="76"/>
      <c r="F11" s="76"/>
      <c r="G11" s="76"/>
      <c r="H11" s="78"/>
    </row>
    <row r="12" spans="2:8" ht="12.75" x14ac:dyDescent="0.2">
      <c r="B12" s="66"/>
      <c r="C12" s="76"/>
      <c r="D12" s="76"/>
      <c r="E12" s="76"/>
      <c r="F12" s="76"/>
      <c r="G12" s="76"/>
      <c r="H12" s="78"/>
    </row>
    <row r="13" spans="2:8" ht="12.75" x14ac:dyDescent="0.2">
      <c r="B13" s="66"/>
      <c r="C13" s="76"/>
      <c r="D13" s="76"/>
      <c r="E13" s="76"/>
      <c r="F13" s="76"/>
      <c r="G13" s="76"/>
      <c r="H13" s="78"/>
    </row>
    <row r="14" spans="2:8" ht="12.75" x14ac:dyDescent="0.2">
      <c r="B14" s="66"/>
      <c r="C14" s="76"/>
      <c r="D14" s="76"/>
      <c r="E14" s="76"/>
      <c r="F14" s="76"/>
      <c r="G14" s="76"/>
      <c r="H14" s="78"/>
    </row>
    <row r="15" spans="2:8" ht="12.75" x14ac:dyDescent="0.2">
      <c r="B15" s="66"/>
      <c r="C15" s="76"/>
      <c r="D15" s="76"/>
      <c r="E15" s="76"/>
      <c r="F15" s="76"/>
      <c r="G15" s="76"/>
      <c r="H15" s="78"/>
    </row>
    <row r="16" spans="2:8" ht="12.75" x14ac:dyDescent="0.2">
      <c r="B16" s="66"/>
      <c r="C16" s="76"/>
      <c r="D16" s="76"/>
      <c r="E16" s="76"/>
      <c r="F16" s="76"/>
      <c r="G16" s="76"/>
      <c r="H16" s="78"/>
    </row>
    <row r="17" spans="2:8" ht="13.5" thickBot="1" x14ac:dyDescent="0.25">
      <c r="B17" s="79"/>
      <c r="C17" s="80"/>
      <c r="D17" s="80"/>
      <c r="E17" s="80"/>
      <c r="F17" s="80"/>
      <c r="G17" s="80"/>
      <c r="H17" s="8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Help</vt:lpstr>
      <vt:lpstr>PEMS</vt:lpstr>
      <vt:lpstr>HOM Exit Point</vt:lpstr>
      <vt:lpstr>Tensioner Exit Point</vt:lpstr>
      <vt:lpstr>temp</vt:lpstr>
      <vt:lpstr>Results</vt:lpstr>
      <vt:lpstr>Report</vt:lpstr>
      <vt:lpstr>Revision History</vt:lpstr>
      <vt:lpstr>emporfld</vt:lpstr>
      <vt:lpstr>HomorTen</vt:lpstr>
      <vt:lpstr>pipe_ID</vt:lpstr>
      <vt:lpstr>'Tensioner Exit Point'!Print_Area</vt:lpstr>
      <vt:lpstr>status</vt:lpstr>
      <vt:lpstr>tolerance</vt:lpstr>
      <vt:lpstr>towerangles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creator>dmsouza</dc:creator>
  <cp:lastModifiedBy>Kaushik Sirvole</cp:lastModifiedBy>
  <dcterms:created xsi:type="dcterms:W3CDTF">1998-07-24T09:46:18Z</dcterms:created>
  <dcterms:modified xsi:type="dcterms:W3CDTF">2018-11-05T17:25:06Z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